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5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писок" r:id="rId3" sheetId="1"/>
    <sheet name="Лекції" r:id="rId4" sheetId="2"/>
    <sheet name="ЛР КН-221а КН-221в " r:id="rId5" sheetId="3"/>
    <sheet name="ЛР КН-222а " r:id="rId6" sheetId="4"/>
    <sheet name="Лабораторні" r:id="rId7" sheetId="5"/>
    <sheet name="Дати занять" r:id="rId8" sheetId="6"/>
    <sheet name="Підсумки" r:id="rId9" sheetId="7"/>
  </sheets>
  <definedNames>
    <definedName name="_xlnm._FilterDatabase" localSheetId="0" hidden="true">Список!$A$2:$J$2</definedName>
    <definedName name="_xlnm._FilterDatabase" localSheetId="1" hidden="true">Лекції!$A$3:$D$3</definedName>
    <definedName name="_xlnm._FilterDatabase" localSheetId="2" hidden="true">'ЛР КН-221а КН-221в '!$A$3:$D$3</definedName>
    <definedName name="_xlnm._FilterDatabase" localSheetId="3" hidden="true">'ЛР КН-222а '!$A$3:$D$3</definedName>
    <definedName name="_xlnm._FilterDatabase" localSheetId="4" hidden="true">Лабораторні!$A$2:$D$2</definedName>
    <definedName name="_xlnm._FilterDatabase" localSheetId="6" hidden="true">Підсумки!$A$2:$D$2</definedName>
  </definedNames>
</workbook>
</file>

<file path=xl/comments5.xml><?xml version="1.0" encoding="utf-8"?>
<comments xmlns="http://schemas.openxmlformats.org/spreadsheetml/2006/main">
  <authors>
    <author/>
  </authors>
  <commentList>
    <comment ref="H2" authorId="0">
      <text>
        <t>Основи ВЕБ</t>
      </text>
    </comment>
    <comment ref="I2" authorId="0">
      <text>
        <t>Перший проект</t>
      </text>
    </comment>
    <comment ref="J2" authorId="0">
      <text>
        <t>Таблиця в сервлеті</t>
      </text>
    </comment>
    <comment ref="K2" authorId="0">
      <text>
        <t>Редірект, форвард</t>
      </text>
    </comment>
    <comment ref="U2" authorId="0">
      <text>
        <t>Основи ВЕБ</t>
      </text>
    </comment>
  </commentList>
</comments>
</file>

<file path=xl/sharedStrings.xml><?xml version="1.0" encoding="utf-8"?>
<sst xmlns="http://schemas.openxmlformats.org/spreadsheetml/2006/main" count="196" uniqueCount="103">
  <si>
    <t>АППЗ</t>
  </si>
  <si>
    <t>#</t>
  </si>
  <si>
    <t>Група</t>
  </si>
  <si>
    <t>Прізвище</t>
  </si>
  <si>
    <t>Ім'я</t>
  </si>
  <si>
    <t>По батькові</t>
  </si>
  <si>
    <t>Почта</t>
  </si>
  <si>
    <t>Телефони</t>
  </si>
  <si>
    <t>Контракт</t>
  </si>
  <si>
    <t>Кампус</t>
  </si>
  <si>
    <t>Країна</t>
  </si>
  <si>
    <t>КН-221а</t>
  </si>
  <si>
    <t>БАБІЧЄВ</t>
  </si>
  <si>
    <t>Олексій</t>
  </si>
  <si>
    <t>Вікторович</t>
  </si>
  <si>
    <t>babichevalex0405@gmail.com</t>
  </si>
  <si>
    <t xml:space="preserve"> +380(98)-316-54-19; 
+380(67)-293-13-71;</t>
  </si>
  <si>
    <t>Ні</t>
  </si>
  <si>
    <t>Україна</t>
  </si>
  <si>
    <t>ВОЛКОВ</t>
  </si>
  <si>
    <t>Дмитро</t>
  </si>
  <si>
    <t>Олександрович</t>
  </si>
  <si>
    <t>dmytro.o.volkov@cs.khpi.edu.ua</t>
  </si>
  <si>
    <t xml:space="preserve"> +380(98)-316-54-19;</t>
  </si>
  <si>
    <t>ГЄЄНКО</t>
  </si>
  <si>
    <t>Анна</t>
  </si>
  <si>
    <t>Олексіївна</t>
  </si>
  <si>
    <t>annakoteika18072005@gmail.com</t>
  </si>
  <si>
    <t xml:space="preserve"> +380(95)-306-20-71; 
+380(50)-258-18-65;</t>
  </si>
  <si>
    <t>ГОЛОПЬОРОВ</t>
  </si>
  <si>
    <t>Микита</t>
  </si>
  <si>
    <t>Сергійович</t>
  </si>
  <si>
    <t>mykyta.holoporov@cs.khpi.edu.ua</t>
  </si>
  <si>
    <t>ГРИЦЕНКО</t>
  </si>
  <si>
    <t>Максим</t>
  </si>
  <si>
    <t>Георгійович</t>
  </si>
  <si>
    <t>maksym.hrytsenko@cs.khpi.edu.ua</t>
  </si>
  <si>
    <t>ЖАРИЙ</t>
  </si>
  <si>
    <t>Вадим</t>
  </si>
  <si>
    <t>Віталійович</t>
  </si>
  <si>
    <t>vadym.zharyi@cs.khpi.edu.ua</t>
  </si>
  <si>
    <t xml:space="preserve"> +380(72)-528-32-08;</t>
  </si>
  <si>
    <t>КН-221в</t>
  </si>
  <si>
    <t>ЖУПАНОВ</t>
  </si>
  <si>
    <t>Андрій</t>
  </si>
  <si>
    <t>Володимирович</t>
  </si>
  <si>
    <t>andrii.zhupanov@cs.khpi.edu.ua</t>
  </si>
  <si>
    <t>ПЕТРЕНКО</t>
  </si>
  <si>
    <t>Олег</t>
  </si>
  <si>
    <t>Ігорович</t>
  </si>
  <si>
    <t>oleg.petrenko@cs.khpi.edu.ua</t>
  </si>
  <si>
    <t xml:space="preserve"> +380(63)-123-45-67;</t>
  </si>
  <si>
    <t>ІВАНОВ</t>
  </si>
  <si>
    <t>Сергій</t>
  </si>
  <si>
    <t>Миколайович</t>
  </si>
  <si>
    <t>serhii.ivanov@cs.khpi.edu.ua</t>
  </si>
  <si>
    <t xml:space="preserve"> +380(93)-123-45-67;</t>
  </si>
  <si>
    <t>КУЗЬМЕНКО</t>
  </si>
  <si>
    <t>Юлія</t>
  </si>
  <si>
    <t>Олександрівна</t>
  </si>
  <si>
    <t>yuliia.kuzmenko@cs.khpi.edu.ua</t>
  </si>
  <si>
    <t>СИДОРЕНКО</t>
  </si>
  <si>
    <t>Денис</t>
  </si>
  <si>
    <t>denys.sydorenko@cs.khpi.edu.ua</t>
  </si>
  <si>
    <t>КН-222а</t>
  </si>
  <si>
    <t>Прізвище І.П.</t>
  </si>
  <si>
    <t>Номер тижня</t>
  </si>
  <si>
    <t>Номер заняття</t>
  </si>
  <si>
    <t>Всього</t>
  </si>
  <si>
    <t>ЛР1</t>
  </si>
  <si>
    <t>Оцінка</t>
  </si>
  <si>
    <t>Виконана</t>
  </si>
  <si>
    <t>Захист</t>
  </si>
  <si>
    <t>ЛР2</t>
  </si>
  <si>
    <t>ЛР3</t>
  </si>
  <si>
    <t>ЛР4</t>
  </si>
  <si>
    <t xml:space="preserve">ЛР КН-221а КН-221в </t>
  </si>
  <si>
    <t>Тиждень</t>
  </si>
  <si>
    <t>Заняття</t>
  </si>
  <si>
    <t>Дата</t>
  </si>
  <si>
    <t xml:space="preserve">ЛР КН-222а </t>
  </si>
  <si>
    <t>Викладач</t>
  </si>
  <si>
    <t>Групи</t>
  </si>
  <si>
    <t>ФІО</t>
  </si>
  <si>
    <t>Науковий ступінь</t>
  </si>
  <si>
    <t>Посада</t>
  </si>
  <si>
    <t>Пошта</t>
  </si>
  <si>
    <t xml:space="preserve">КН-221а КН-221в </t>
  </si>
  <si>
    <t>Мельник Олександр Ігорович</t>
  </si>
  <si>
    <t>ктн</t>
  </si>
  <si>
    <t>доцент</t>
  </si>
  <si>
    <t>email@khpi.edu.ua</t>
  </si>
  <si>
    <t xml:space="preserve">КН-222а </t>
  </si>
  <si>
    <t>ТЕОРІЯ</t>
  </si>
  <si>
    <t>Лекції</t>
  </si>
  <si>
    <t>ІЗ СРС</t>
  </si>
  <si>
    <t>ПРАКТИКА</t>
  </si>
  <si>
    <t>ЗА СЕМЕСТР (+ 20)</t>
  </si>
  <si>
    <t>Бонуси</t>
  </si>
  <si>
    <t>Екзамен/Залік</t>
  </si>
  <si>
    <t xml:space="preserve">Підсумок   </t>
  </si>
  <si>
    <t>ОЦІНКА</t>
  </si>
  <si>
    <t>5A</t>
  </si>
</sst>
</file>

<file path=xl/styles.xml><?xml version="1.0" encoding="utf-8"?>
<styleSheet xmlns="http://schemas.openxmlformats.org/spreadsheetml/2006/main">
  <numFmts count="2">
    <numFmt numFmtId="164" formatCode="dd&quot;.&quot;mm"/>
    <numFmt numFmtId="165" formatCode="dd&quot;.&quot;mmm"/>
  </numFmts>
  <fonts count="107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4.0"/>
      <b val="true"/>
    </font>
    <font>
      <name val="Calibri"/>
      <sz val="14.0"/>
    </font>
    <font>
      <name val="Calibri"/>
      <sz val="14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2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2.0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2.0"/>
      <b val="true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2.0"/>
      <b val="true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2.0"/>
      <b val="true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2.0"/>
      <b val="true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2.0"/>
      <b val="true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2.0"/>
      <b val="true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2.0"/>
      <b val="true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2.0"/>
      <b val="true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2.0"/>
      <b val="true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2.0"/>
      <b val="true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2.0"/>
      <b val="true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2.0"/>
      <b val="true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2.0"/>
      <b val="true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</fonts>
  <fills count="14">
    <fill>
      <patternFill patternType="none"/>
    </fill>
    <fill>
      <patternFill patternType="darkGray"/>
    </fill>
    <fill>
      <patternFill patternType="none">
        <fgColor rgb="FFFF00"/>
      </patternFill>
    </fill>
    <fill>
      <patternFill patternType="solid">
        <fgColor rgb="FFFF00"/>
      </patternFill>
    </fill>
    <fill>
      <patternFill patternType="none">
        <fgColor rgb="B6D7A8"/>
      </patternFill>
    </fill>
    <fill>
      <patternFill patternType="solid">
        <fgColor rgb="B6D7A8"/>
      </patternFill>
    </fill>
    <fill>
      <patternFill patternType="none">
        <fgColor rgb="00FF00"/>
      </patternFill>
    </fill>
    <fill>
      <patternFill patternType="solid">
        <fgColor rgb="00FF00"/>
      </patternFill>
    </fill>
    <fill>
      <patternFill patternType="none">
        <fgColor rgb="F6B26B"/>
      </patternFill>
    </fill>
    <fill>
      <patternFill patternType="solid">
        <fgColor rgb="F6B26B"/>
      </patternFill>
    </fill>
    <fill>
      <patternFill patternType="none">
        <fgColor rgb="00FFFF"/>
      </patternFill>
    </fill>
    <fill>
      <patternFill patternType="solid">
        <fgColor rgb="00FFFF"/>
      </patternFill>
    </fill>
    <fill>
      <patternFill patternType="none">
        <fgColor rgb="FFF2CC"/>
      </patternFill>
    </fill>
    <fill>
      <patternFill patternType="solid">
        <fgColor rgb="FFF2CC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73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 applyAlignment="true">
      <alignment horizontal="center"/>
    </xf>
    <xf numFmtId="0" fontId="3" fillId="0" borderId="4" xfId="0" applyFont="true" applyBorder="true"/>
    <xf numFmtId="0" fontId="4" fillId="0" borderId="4" xfId="0" applyFont="true" applyBorder="true">
      <alignment wrapText="true"/>
    </xf>
    <xf numFmtId="0" fontId="5" fillId="0" borderId="0" xfId="0" applyFont="true" applyAlignment="true">
      <alignment horizontal="center"/>
    </xf>
    <xf numFmtId="0" fontId="6" fillId="0" borderId="0" xfId="0" applyFont="true" applyAlignment="true">
      <alignment horizontal="center"/>
    </xf>
    <xf numFmtId="0" fontId="7" fillId="0" borderId="0" xfId="0" applyFont="true" applyAlignment="true">
      <alignment horizontal="center"/>
    </xf>
    <xf numFmtId="164" fontId="8" fillId="0" borderId="4" xfId="0" applyFont="true" applyBorder="true" applyNumberFormat="true"/>
    <xf numFmtId="0" fontId="9" fillId="0" borderId="0" xfId="0" applyFont="true" applyAlignment="true">
      <alignment horizontal="center"/>
    </xf>
    <xf numFmtId="0" fontId="10" fillId="0" borderId="0" xfId="0" applyFont="true" applyAlignment="true">
      <alignment horizontal="center"/>
    </xf>
    <xf numFmtId="164" fontId="11" fillId="0" borderId="4" xfId="0" applyFont="true" applyBorder="true" applyNumberFormat="true"/>
    <xf numFmtId="0" fontId="12" fillId="0" borderId="0" xfId="0" applyFont="true" applyAlignment="true">
      <alignment horizontal="center"/>
    </xf>
    <xf numFmtId="0" fontId="13" fillId="0" borderId="0" xfId="0" applyFont="true" applyAlignment="true">
      <alignment horizontal="center"/>
    </xf>
    <xf numFmtId="164" fontId="14" fillId="0" borderId="4" xfId="0" applyFont="true" applyBorder="true" applyNumberFormat="true"/>
    <xf numFmtId="0" fontId="15" fillId="0" borderId="0" xfId="0" applyFont="true" applyAlignment="true">
      <alignment horizontal="center"/>
    </xf>
    <xf numFmtId="0" fontId="16" fillId="0" borderId="0" xfId="0" applyFont="true" applyAlignment="true">
      <alignment horizontal="center"/>
    </xf>
    <xf numFmtId="164" fontId="17" fillId="0" borderId="4" xfId="0" applyFont="true" applyBorder="true" applyNumberFormat="true"/>
    <xf numFmtId="0" fontId="18" fillId="0" borderId="0" xfId="0" applyFont="true" applyAlignment="true">
      <alignment horizontal="center"/>
    </xf>
    <xf numFmtId="0" fontId="19" fillId="0" borderId="0" xfId="0" applyFont="true" applyAlignment="true">
      <alignment horizontal="center"/>
    </xf>
    <xf numFmtId="164" fontId="20" fillId="0" borderId="4" xfId="0" applyFont="true" applyBorder="true" applyNumberFormat="true"/>
    <xf numFmtId="0" fontId="21" fillId="0" borderId="0" xfId="0" applyFont="true" applyAlignment="true">
      <alignment horizontal="center"/>
    </xf>
    <xf numFmtId="0" fontId="22" fillId="0" borderId="0" xfId="0" applyFont="true" applyAlignment="true">
      <alignment horizontal="center"/>
    </xf>
    <xf numFmtId="164" fontId="23" fillId="0" borderId="4" xfId="0" applyFont="true" applyBorder="true" applyNumberFormat="true"/>
    <xf numFmtId="0" fontId="24" fillId="0" borderId="0" xfId="0" applyFont="true" applyAlignment="true">
      <alignment horizontal="center"/>
    </xf>
    <xf numFmtId="0" fontId="25" fillId="0" borderId="0" xfId="0" applyFont="true" applyAlignment="true">
      <alignment horizontal="center"/>
    </xf>
    <xf numFmtId="164" fontId="26" fillId="0" borderId="4" xfId="0" applyFont="true" applyBorder="true" applyNumberFormat="true"/>
    <xf numFmtId="0" fontId="27" fillId="0" borderId="0" xfId="0" applyFont="true" applyAlignment="true">
      <alignment horizontal="center"/>
    </xf>
    <xf numFmtId="0" fontId="28" fillId="0" borderId="0" xfId="0" applyFont="true" applyAlignment="true">
      <alignment horizontal="center"/>
    </xf>
    <xf numFmtId="164" fontId="29" fillId="0" borderId="4" xfId="0" applyFont="true" applyBorder="true" applyNumberFormat="true"/>
    <xf numFmtId="0" fontId="30" fillId="0" borderId="0" xfId="0" applyFont="true" applyAlignment="true">
      <alignment horizontal="center"/>
    </xf>
    <xf numFmtId="0" fontId="31" fillId="0" borderId="0" xfId="0" applyFont="true" applyAlignment="true">
      <alignment horizontal="center"/>
    </xf>
    <xf numFmtId="164" fontId="32" fillId="0" borderId="4" xfId="0" applyFont="true" applyBorder="true" applyNumberFormat="true"/>
    <xf numFmtId="0" fontId="33" fillId="0" borderId="0" xfId="0" applyFont="true" applyAlignment="true">
      <alignment horizontal="center"/>
    </xf>
    <xf numFmtId="0" fontId="34" fillId="0" borderId="0" xfId="0" applyFont="true" applyAlignment="true">
      <alignment horizontal="center"/>
    </xf>
    <xf numFmtId="164" fontId="35" fillId="0" borderId="4" xfId="0" applyFont="true" applyBorder="true" applyNumberFormat="true"/>
    <xf numFmtId="0" fontId="36" fillId="0" borderId="0" xfId="0" applyFont="true" applyAlignment="true">
      <alignment horizontal="center"/>
    </xf>
    <xf numFmtId="0" fontId="37" fillId="0" borderId="0" xfId="0" applyFont="true" applyAlignment="true">
      <alignment horizontal="center"/>
    </xf>
    <xf numFmtId="164" fontId="38" fillId="0" borderId="4" xfId="0" applyFont="true" applyBorder="true" applyNumberFormat="true"/>
    <xf numFmtId="0" fontId="39" fillId="0" borderId="0" xfId="0" applyFont="true" applyAlignment="true">
      <alignment horizontal="center"/>
    </xf>
    <xf numFmtId="0" fontId="40" fillId="0" borderId="0" xfId="0" applyFont="true" applyAlignment="true">
      <alignment horizontal="center"/>
    </xf>
    <xf numFmtId="164" fontId="41" fillId="0" borderId="4" xfId="0" applyFont="true" applyBorder="true" applyNumberFormat="true"/>
    <xf numFmtId="0" fontId="42" fillId="0" borderId="0" xfId="0" applyFont="true" applyAlignment="true">
      <alignment horizontal="center"/>
    </xf>
    <xf numFmtId="0" fontId="43" fillId="0" borderId="0" xfId="0" applyFont="true" applyAlignment="true">
      <alignment horizontal="center"/>
    </xf>
    <xf numFmtId="164" fontId="44" fillId="0" borderId="4" xfId="0" applyFont="true" applyBorder="true" applyNumberFormat="true"/>
    <xf numFmtId="0" fontId="45" fillId="0" borderId="0" xfId="0" applyFont="true" applyAlignment="true">
      <alignment horizontal="center"/>
    </xf>
    <xf numFmtId="0" fontId="46" fillId="0" borderId="0" xfId="0" applyFont="true" applyAlignment="true">
      <alignment horizontal="center"/>
    </xf>
    <xf numFmtId="164" fontId="47" fillId="0" borderId="4" xfId="0" applyFont="true" applyBorder="true" applyNumberFormat="true"/>
    <xf numFmtId="0" fontId="48" fillId="0" borderId="0" xfId="0" applyFont="true" applyAlignment="true">
      <alignment horizontal="center"/>
    </xf>
    <xf numFmtId="0" fontId="49" fillId="0" borderId="0" xfId="0" applyFont="true" applyAlignment="true">
      <alignment horizontal="center"/>
    </xf>
    <xf numFmtId="164" fontId="50" fillId="0" borderId="4" xfId="0" applyFont="true" applyBorder="true" applyNumberFormat="true"/>
    <xf numFmtId="0" fontId="51" fillId="0" borderId="0" xfId="0" applyFont="true" applyAlignment="true">
      <alignment horizontal="center"/>
    </xf>
    <xf numFmtId="0" fontId="52" fillId="0" borderId="0" xfId="0" applyFont="true" applyAlignment="true">
      <alignment horizontal="center"/>
    </xf>
    <xf numFmtId="164" fontId="53" fillId="0" borderId="4" xfId="0" applyFont="true" applyBorder="true" applyNumberFormat="true"/>
    <xf numFmtId="0" fontId="54" fillId="0" borderId="0" xfId="0" applyFont="true" applyAlignment="true">
      <alignment horizontal="center"/>
    </xf>
    <xf numFmtId="0" fontId="55" fillId="0" borderId="0" xfId="0" applyFont="true" applyAlignment="true">
      <alignment horizontal="center"/>
    </xf>
    <xf numFmtId="0" fontId="56" fillId="0" borderId="0" xfId="0" applyFont="true" applyAlignment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  <xf numFmtId="0" fontId="61" fillId="0" borderId="4" xfId="0" applyFont="true" applyBorder="true"/>
    <xf numFmtId="0" fontId="62" fillId="0" borderId="4" xfId="0" applyFont="true" applyBorder="true"/>
    <xf numFmtId="0" fontId="63" fillId="0" borderId="4" xfId="0" applyFont="true" applyBorder="true"/>
    <xf numFmtId="0" fontId="64" fillId="0" borderId="4" xfId="0" applyFont="true" applyBorder="true"/>
    <xf numFmtId="0" fontId="65" fillId="0" borderId="4" xfId="0" applyFont="true" applyBorder="true"/>
    <xf numFmtId="0" fontId="66" fillId="0" borderId="4" xfId="0" applyFont="true" applyBorder="true"/>
    <xf numFmtId="0" fontId="67" fillId="0" borderId="4" xfId="0" applyFont="true" applyBorder="true"/>
    <xf numFmtId="0" fontId="68" fillId="0" borderId="4" xfId="0" applyFont="true" applyBorder="true"/>
    <xf numFmtId="0" fontId="69" fillId="0" borderId="4" xfId="0" applyFont="true" applyBorder="true"/>
    <xf numFmtId="0" fontId="70" fillId="0" borderId="4" xfId="0" applyFont="true" applyBorder="true"/>
    <xf numFmtId="0" fontId="71" fillId="0" borderId="4" xfId="0" applyFont="true" applyBorder="true"/>
    <xf numFmtId="0" fontId="72" fillId="0" borderId="4" xfId="0" applyFont="true" applyBorder="true"/>
    <xf numFmtId="0" fontId="73" fillId="0" borderId="4" xfId="0" applyFont="true" applyBorder="true"/>
    <xf numFmtId="0" fontId="74" fillId="0" borderId="4" xfId="0" applyFont="true" applyBorder="true"/>
    <xf numFmtId="0" fontId="75" fillId="0" borderId="4" xfId="0" applyFont="true" applyBorder="true"/>
    <xf numFmtId="0" fontId="76" fillId="0" borderId="4" xfId="0" applyFont="true" applyBorder="true"/>
    <xf numFmtId="0" fontId="77" fillId="0" borderId="4" xfId="0" applyFont="true" applyBorder="true"/>
    <xf numFmtId="0" fontId="78" fillId="0" borderId="4" xfId="0" applyFont="true" applyBorder="true"/>
    <xf numFmtId="0" fontId="79" fillId="0" borderId="4" xfId="0" applyFont="true" applyBorder="true"/>
    <xf numFmtId="0" fontId="80" fillId="0" borderId="4" xfId="0" applyFont="true" applyBorder="true"/>
    <xf numFmtId="0" fontId="81" fillId="0" borderId="4" xfId="0" applyFont="true" applyBorder="true"/>
    <xf numFmtId="0" fontId="82" fillId="0" borderId="4" xfId="0" applyFont="true" applyBorder="true"/>
    <xf numFmtId="0" fontId="83" fillId="0" borderId="4" xfId="0" applyFont="true" applyBorder="true"/>
    <xf numFmtId="0" fontId="84" fillId="0" borderId="4" xfId="0" applyFont="true" applyBorder="true"/>
    <xf numFmtId="0" fontId="85" fillId="0" borderId="4" xfId="0" applyFont="true" applyBorder="true"/>
    <xf numFmtId="0" fontId="86" fillId="0" borderId="4" xfId="0" applyFont="true" applyBorder="true"/>
    <xf numFmtId="0" fontId="87" fillId="0" borderId="4" xfId="0" applyFont="true" applyBorder="true"/>
    <xf numFmtId="0" fontId="88" fillId="0" borderId="4" xfId="0" applyFont="true" applyBorder="true"/>
    <xf numFmtId="0" fontId="89" fillId="0" borderId="4" xfId="0" applyFont="true" applyBorder="true"/>
    <xf numFmtId="0" fontId="90" fillId="0" borderId="4" xfId="0" applyFont="true" applyBorder="true"/>
    <xf numFmtId="0" fontId="91" fillId="0" borderId="4" xfId="0" applyFont="true" applyBorder="true"/>
    <xf numFmtId="0" fontId="92" fillId="0" borderId="4" xfId="0" applyFont="true" applyBorder="true"/>
    <xf numFmtId="0" fontId="93" fillId="0" borderId="4" xfId="0" applyFont="true" applyBorder="true"/>
    <xf numFmtId="0" fontId="94" fillId="0" borderId="4" xfId="0" applyFont="true" applyBorder="true"/>
    <xf numFmtId="0" fontId="95" fillId="0" borderId="4" xfId="0" applyFont="true" applyBorder="true"/>
    <xf numFmtId="0" fontId="96" fillId="0" borderId="4" xfId="0" applyFont="true" applyBorder="true"/>
    <xf numFmtId="0" fontId="97" fillId="0" borderId="4" xfId="0" applyFont="true" applyBorder="true"/>
    <xf numFmtId="0" fontId="98" fillId="0" borderId="4" xfId="0" applyFont="true" applyBorder="true"/>
    <xf numFmtId="0" fontId="99" fillId="0" borderId="4" xfId="0" applyFont="true" applyBorder="true"/>
    <xf numFmtId="0" fontId="100" fillId="0" borderId="4" xfId="0" applyFont="true" applyBorder="true"/>
    <xf numFmtId="0" fontId="101" fillId="0" borderId="4" xfId="0" applyFont="true" applyBorder="true"/>
    <xf numFmtId="0" fontId="102" fillId="0" borderId="4" xfId="0" applyFont="true" applyBorder="true"/>
    <xf numFmtId="0" fontId="103" fillId="0" borderId="4" xfId="0" applyFont="true" applyBorder="true"/>
    <xf numFmtId="0" fontId="104" fillId="0" borderId="4" xfId="0" applyFont="true" applyBorder="true"/>
    <xf numFmtId="0" fontId="105" fillId="0" borderId="4" xfId="0" applyFont="true" applyBorder="true"/>
    <xf numFmtId="0" fontId="106" fillId="0" borderId="4" xfId="0" applyFont="true" applyBorder="true"/>
    <xf numFmtId="0" fontId="107" fillId="0" borderId="4" xfId="0" applyFont="true" applyBorder="true"/>
    <xf numFmtId="0" fontId="108" fillId="0" borderId="4" xfId="0" applyFont="true" applyBorder="true"/>
    <xf numFmtId="0" fontId="109" fillId="0" borderId="4" xfId="0" applyFont="true" applyBorder="true"/>
    <xf numFmtId="0" fontId="110" fillId="0" borderId="4" xfId="0" applyFont="true" applyBorder="true"/>
    <xf numFmtId="0" fontId="111" fillId="0" borderId="4" xfId="0" applyFont="true" applyBorder="true"/>
    <xf numFmtId="0" fontId="112" fillId="0" borderId="4" xfId="0" applyFont="true" applyBorder="true"/>
    <xf numFmtId="0" fontId="113" fillId="0" borderId="4" xfId="0" applyFont="true" applyBorder="true"/>
    <xf numFmtId="0" fontId="114" fillId="0" borderId="4" xfId="0" applyFont="true" applyBorder="true"/>
    <xf numFmtId="0" fontId="115" fillId="0" borderId="4" xfId="0" applyFont="true" applyBorder="true"/>
    <xf numFmtId="0" fontId="116" fillId="0" borderId="4" xfId="0" applyFont="true" applyBorder="true"/>
    <xf numFmtId="0" fontId="117" fillId="0" borderId="4" xfId="0" applyFont="true" applyBorder="true"/>
    <xf numFmtId="0" fontId="118" fillId="0" borderId="4" xfId="0" applyFont="true" applyBorder="true"/>
    <xf numFmtId="0" fontId="119" fillId="0" borderId="4" xfId="0" applyFont="true" applyBorder="true"/>
    <xf numFmtId="0" fontId="120" fillId="0" borderId="4" xfId="0" applyFont="true" applyBorder="true"/>
    <xf numFmtId="0" fontId="121" fillId="0" borderId="4" xfId="0" applyFont="true" applyBorder="true"/>
    <xf numFmtId="0" fontId="122" fillId="0" borderId="4" xfId="0" applyFont="true" applyBorder="true"/>
    <xf numFmtId="0" fontId="123" fillId="0" borderId="4" xfId="0" applyFont="true" applyBorder="true"/>
    <xf numFmtId="0" fontId="124" fillId="0" borderId="4" xfId="0" applyFont="true" applyBorder="true"/>
    <xf numFmtId="0" fontId="125" fillId="0" borderId="4" xfId="0" applyFont="true" applyBorder="true"/>
    <xf numFmtId="0" fontId="126" fillId="0" borderId="4" xfId="0" applyFont="true" applyBorder="true"/>
    <xf numFmtId="0" fontId="127" fillId="0" borderId="4" xfId="0" applyFont="true" applyBorder="true"/>
    <xf numFmtId="0" fontId="128" fillId="0" borderId="4" xfId="0" applyFont="true" applyBorder="true"/>
    <xf numFmtId="0" fontId="129" fillId="0" borderId="4" xfId="0" applyFont="true" applyBorder="true"/>
    <xf numFmtId="0" fontId="130" fillId="0" borderId="4" xfId="0" applyFont="true" applyBorder="true"/>
    <xf numFmtId="0" fontId="131" fillId="0" borderId="4" xfId="0" applyFont="true" applyBorder="true"/>
    <xf numFmtId="0" fontId="132" fillId="0" borderId="4" xfId="0" applyFont="true" applyBorder="true"/>
    <xf numFmtId="0" fontId="133" fillId="0" borderId="4" xfId="0" applyFont="true" applyBorder="true"/>
    <xf numFmtId="0" fontId="134" fillId="0" borderId="4" xfId="0" applyFont="true" applyBorder="true"/>
    <xf numFmtId="0" fontId="135" fillId="0" borderId="4" xfId="0" applyFont="true" applyBorder="true"/>
    <xf numFmtId="0" fontId="136" fillId="0" borderId="4" xfId="0" applyFont="true" applyBorder="true"/>
    <xf numFmtId="0" fontId="137" fillId="0" borderId="4" xfId="0" applyFont="true" applyBorder="true"/>
    <xf numFmtId="0" fontId="138" fillId="0" borderId="4" xfId="0" applyFont="true" applyBorder="true"/>
    <xf numFmtId="0" fontId="139" fillId="0" borderId="4" xfId="0" applyFont="true" applyBorder="true"/>
    <xf numFmtId="0" fontId="140" fillId="0" borderId="4" xfId="0" applyFont="true" applyBorder="true"/>
    <xf numFmtId="0" fontId="141" fillId="0" borderId="4" xfId="0" applyFont="true" applyBorder="true"/>
    <xf numFmtId="0" fontId="142" fillId="0" borderId="4" xfId="0" applyFont="true" applyBorder="true"/>
    <xf numFmtId="0" fontId="143" fillId="0" borderId="4" xfId="0" applyFont="true" applyBorder="true"/>
    <xf numFmtId="0" fontId="144" fillId="0" borderId="4" xfId="0" applyFont="true" applyBorder="true"/>
    <xf numFmtId="0" fontId="145" fillId="0" borderId="4" xfId="0" applyFont="true" applyBorder="true"/>
    <xf numFmtId="0" fontId="146" fillId="0" borderId="4" xfId="0" applyFont="true" applyBorder="true"/>
    <xf numFmtId="0" fontId="147" fillId="0" borderId="4" xfId="0" applyFont="true" applyBorder="true"/>
    <xf numFmtId="0" fontId="148" fillId="0" borderId="4" xfId="0" applyFont="true" applyBorder="true"/>
    <xf numFmtId="0" fontId="149" fillId="0" borderId="4" xfId="0" applyFont="true" applyBorder="true"/>
    <xf numFmtId="0" fontId="150" fillId="0" borderId="4" xfId="0" applyFont="true" applyBorder="true"/>
    <xf numFmtId="0" fontId="151" fillId="0" borderId="4" xfId="0" applyFont="true" applyBorder="true"/>
    <xf numFmtId="0" fontId="152" fillId="0" borderId="4" xfId="0" applyFont="true" applyBorder="true"/>
    <xf numFmtId="0" fontId="153" fillId="0" borderId="4" xfId="0" applyFont="true" applyBorder="true"/>
    <xf numFmtId="0" fontId="154" fillId="0" borderId="4" xfId="0" applyFont="true" applyBorder="true"/>
    <xf numFmtId="0" fontId="155" fillId="0" borderId="4" xfId="0" applyFont="true" applyBorder="true"/>
    <xf numFmtId="0" fontId="156" fillId="0" borderId="4" xfId="0" applyFont="true" applyBorder="true"/>
    <xf numFmtId="0" fontId="157" fillId="0" borderId="4" xfId="0" applyFont="true" applyBorder="true"/>
    <xf numFmtId="0" fontId="158" fillId="0" borderId="4" xfId="0" applyFont="true" applyBorder="true"/>
    <xf numFmtId="0" fontId="159" fillId="0" borderId="4" xfId="0" applyFont="true" applyBorder="true"/>
    <xf numFmtId="0" fontId="160" fillId="0" borderId="4" xfId="0" applyFont="true" applyBorder="true"/>
    <xf numFmtId="0" fontId="161" fillId="0" borderId="4" xfId="0" applyFont="true" applyBorder="true"/>
    <xf numFmtId="0" fontId="162" fillId="0" borderId="4" xfId="0" applyFont="true" applyBorder="true"/>
    <xf numFmtId="0" fontId="163" fillId="0" borderId="4" xfId="0" applyFont="true" applyBorder="true"/>
    <xf numFmtId="0" fontId="164" fillId="0" borderId="4" xfId="0" applyFont="true" applyBorder="true"/>
    <xf numFmtId="0" fontId="165" fillId="0" borderId="4" xfId="0" applyFont="true" applyBorder="true"/>
    <xf numFmtId="0" fontId="166" fillId="0" borderId="4" xfId="0" applyFont="true" applyBorder="true"/>
    <xf numFmtId="0" fontId="167" fillId="0" borderId="4" xfId="0" applyFont="true" applyBorder="true"/>
    <xf numFmtId="0" fontId="168" fillId="0" borderId="4" xfId="0" applyFont="true" applyBorder="true"/>
    <xf numFmtId="0" fontId="169" fillId="0" borderId="4" xfId="0" applyFont="true" applyBorder="true"/>
    <xf numFmtId="0" fontId="170" fillId="0" borderId="4" xfId="0" applyFont="true" applyBorder="true"/>
    <xf numFmtId="0" fontId="171" fillId="0" borderId="4" xfId="0" applyFont="true" applyBorder="true"/>
    <xf numFmtId="0" fontId="172" fillId="0" borderId="4" xfId="0" applyFont="true" applyBorder="true"/>
    <xf numFmtId="0" fontId="173" fillId="0" borderId="4" xfId="0" applyFont="true" applyBorder="true"/>
    <xf numFmtId="0" fontId="174" fillId="0" borderId="4" xfId="0" applyFont="true" applyBorder="true"/>
    <xf numFmtId="0" fontId="175" fillId="0" borderId="4" xfId="0" applyFont="true" applyBorder="true"/>
    <xf numFmtId="0" fontId="176" fillId="0" borderId="4" xfId="0" applyFont="true" applyBorder="true"/>
    <xf numFmtId="0" fontId="177" fillId="0" borderId="4" xfId="0" applyFont="true" applyBorder="true"/>
    <xf numFmtId="0" fontId="178" fillId="0" borderId="4" xfId="0" applyFont="true" applyBorder="true"/>
    <xf numFmtId="0" fontId="179" fillId="0" borderId="4" xfId="0" applyFont="true" applyBorder="true"/>
    <xf numFmtId="0" fontId="180" fillId="0" borderId="4" xfId="0" applyFont="true" applyBorder="true"/>
    <xf numFmtId="0" fontId="181" fillId="0" borderId="4" xfId="0" applyFont="true" applyBorder="true"/>
    <xf numFmtId="0" fontId="182" fillId="0" borderId="4" xfId="0" applyFont="true" applyBorder="true"/>
    <xf numFmtId="0" fontId="183" fillId="0" borderId="4" xfId="0" applyFont="true" applyBorder="true"/>
    <xf numFmtId="0" fontId="184" fillId="0" borderId="4" xfId="0" applyFont="true" applyBorder="true"/>
    <xf numFmtId="0" fontId="185" fillId="0" borderId="4" xfId="0" applyFont="true" applyBorder="true"/>
    <xf numFmtId="0" fontId="186" fillId="0" borderId="4" xfId="0" applyFont="true" applyBorder="true"/>
    <xf numFmtId="0" fontId="187" fillId="0" borderId="4" xfId="0" applyFont="true" applyBorder="true"/>
    <xf numFmtId="0" fontId="188" fillId="0" borderId="4" xfId="0" applyFont="true" applyBorder="true"/>
    <xf numFmtId="0" fontId="189" fillId="0" borderId="4" xfId="0" applyFont="true" applyBorder="true"/>
    <xf numFmtId="0" fontId="190" fillId="0" borderId="4" xfId="0" applyFont="true" applyBorder="true"/>
    <xf numFmtId="0" fontId="191" fillId="0" borderId="4" xfId="0" applyFont="true" applyBorder="true"/>
    <xf numFmtId="0" fontId="192" fillId="0" borderId="4" xfId="0" applyFont="true" applyBorder="true"/>
    <xf numFmtId="0" fontId="193" fillId="0" borderId="4" xfId="0" applyFont="true" applyBorder="true"/>
    <xf numFmtId="0" fontId="194" fillId="0" borderId="4" xfId="0" applyFont="true" applyBorder="true"/>
    <xf numFmtId="0" fontId="195" fillId="0" borderId="4" xfId="0" applyFont="true" applyBorder="true"/>
    <xf numFmtId="0" fontId="196" fillId="0" borderId="4" xfId="0" applyFont="true" applyBorder="true"/>
    <xf numFmtId="0" fontId="197" fillId="0" borderId="4" xfId="0" applyFont="true" applyBorder="true"/>
    <xf numFmtId="0" fontId="198" fillId="0" borderId="4" xfId="0" applyFont="true" applyBorder="true"/>
    <xf numFmtId="0" fontId="199" fillId="0" borderId="4" xfId="0" applyFont="true" applyBorder="true"/>
    <xf numFmtId="0" fontId="200" fillId="0" borderId="4" xfId="0" applyFont="true" applyBorder="true"/>
    <xf numFmtId="0" fontId="201" fillId="0" borderId="4" xfId="0" applyFont="true" applyBorder="true"/>
    <xf numFmtId="0" fontId="202" fillId="0" borderId="4" xfId="0" applyFont="true" applyBorder="true"/>
    <xf numFmtId="0" fontId="203" fillId="0" borderId="4" xfId="0" applyFont="true" applyBorder="true"/>
    <xf numFmtId="0" fontId="204" fillId="0" borderId="4" xfId="0" applyFont="true" applyBorder="true"/>
    <xf numFmtId="0" fontId="205" fillId="0" borderId="4" xfId="0" applyFont="true" applyBorder="true"/>
    <xf numFmtId="0" fontId="206" fillId="0" borderId="4" xfId="0" applyFont="true" applyBorder="true"/>
    <xf numFmtId="0" fontId="207" fillId="0" borderId="4" xfId="0" applyFont="true" applyBorder="true"/>
    <xf numFmtId="0" fontId="208" fillId="0" borderId="4" xfId="0" applyFont="true" applyBorder="true"/>
    <xf numFmtId="0" fontId="209" fillId="0" borderId="4" xfId="0" applyFont="true" applyBorder="true"/>
    <xf numFmtId="0" fontId="210" fillId="0" borderId="4" xfId="0" applyFont="true" applyBorder="true"/>
    <xf numFmtId="0" fontId="211" fillId="0" borderId="4" xfId="0" applyFont="true" applyBorder="true"/>
    <xf numFmtId="0" fontId="212" fillId="0" borderId="4" xfId="0" applyFont="true" applyBorder="true"/>
    <xf numFmtId="0" fontId="213" fillId="0" borderId="4" xfId="0" applyFont="true" applyBorder="true"/>
    <xf numFmtId="0" fontId="214" fillId="0" borderId="4" xfId="0" applyFont="true" applyBorder="true"/>
    <xf numFmtId="0" fontId="215" fillId="0" borderId="4" xfId="0" applyFont="true" applyBorder="true"/>
    <xf numFmtId="0" fontId="216" fillId="0" borderId="4" xfId="0" applyFont="true" applyBorder="true"/>
    <xf numFmtId="0" fontId="217" fillId="0" borderId="4" xfId="0" applyFont="true" applyBorder="true"/>
    <xf numFmtId="0" fontId="218" fillId="0" borderId="4" xfId="0" applyFont="true" applyBorder="true"/>
    <xf numFmtId="0" fontId="219" fillId="0" borderId="4" xfId="0" applyFont="true" applyBorder="true"/>
    <xf numFmtId="0" fontId="220" fillId="0" borderId="4" xfId="0" applyFont="true" applyBorder="true"/>
    <xf numFmtId="0" fontId="221" fillId="0" borderId="4" xfId="0" applyFont="true" applyBorder="true"/>
    <xf numFmtId="0" fontId="222" fillId="0" borderId="4" xfId="0" applyFont="true" applyBorder="true"/>
    <xf numFmtId="0" fontId="223" fillId="0" borderId="4" xfId="0" applyFont="true" applyBorder="true"/>
    <xf numFmtId="0" fontId="224" fillId="0" borderId="4" xfId="0" applyFont="true" applyBorder="true"/>
    <xf numFmtId="0" fontId="225" fillId="0" borderId="4" xfId="0" applyFont="true" applyBorder="true"/>
    <xf numFmtId="0" fontId="226" fillId="0" borderId="4" xfId="0" applyFont="true" applyBorder="true"/>
    <xf numFmtId="0" fontId="227" fillId="0" borderId="4" xfId="0" applyFont="true" applyBorder="true"/>
    <xf numFmtId="0" fontId="228" fillId="0" borderId="4" xfId="0" applyFont="true" applyBorder="true"/>
    <xf numFmtId="0" fontId="229" fillId="0" borderId="4" xfId="0" applyFont="true" applyBorder="true"/>
    <xf numFmtId="0" fontId="230" fillId="0" borderId="4" xfId="0" applyFont="true" applyBorder="true"/>
    <xf numFmtId="0" fontId="231" fillId="0" borderId="4" xfId="0" applyFont="true" applyBorder="true"/>
    <xf numFmtId="0" fontId="232" fillId="0" borderId="4" xfId="0" applyFont="true" applyBorder="true"/>
    <xf numFmtId="0" fontId="233" fillId="0" borderId="4" xfId="0" applyFont="true" applyBorder="true"/>
    <xf numFmtId="0" fontId="234" fillId="0" borderId="4" xfId="0" applyFont="true" applyBorder="true"/>
    <xf numFmtId="0" fontId="235" fillId="0" borderId="4" xfId="0" applyFont="true" applyBorder="true"/>
    <xf numFmtId="0" fontId="236" fillId="0" borderId="4" xfId="0" applyFont="true" applyBorder="true"/>
    <xf numFmtId="0" fontId="237" fillId="0" borderId="4" xfId="0" applyFont="true" applyBorder="true"/>
    <xf numFmtId="0" fontId="238" fillId="0" borderId="4" xfId="0" applyFont="true" applyBorder="true"/>
    <xf numFmtId="0" fontId="239" fillId="0" borderId="4" xfId="0" applyFont="true" applyBorder="true"/>
    <xf numFmtId="0" fontId="240" fillId="0" borderId="4" xfId="0" applyFont="true" applyBorder="true"/>
    <xf numFmtId="0" fontId="241" fillId="0" borderId="4" xfId="0" applyFont="true" applyBorder="true"/>
    <xf numFmtId="0" fontId="242" fillId="0" borderId="4" xfId="0" applyFont="true" applyBorder="true"/>
    <xf numFmtId="0" fontId="243" fillId="0" borderId="4" xfId="0" applyFont="true" applyBorder="true"/>
    <xf numFmtId="0" fontId="244" fillId="0" borderId="4" xfId="0" applyFont="true" applyBorder="true"/>
    <xf numFmtId="0" fontId="245" fillId="0" borderId="4" xfId="0" applyFont="true" applyBorder="true"/>
    <xf numFmtId="0" fontId="246" fillId="0" borderId="4" xfId="0" applyFont="true" applyBorder="true"/>
    <xf numFmtId="0" fontId="247" fillId="0" borderId="4" xfId="0" applyFont="true" applyBorder="true"/>
    <xf numFmtId="0" fontId="248" fillId="0" borderId="4" xfId="0" applyFont="true" applyBorder="true"/>
    <xf numFmtId="0" fontId="249" fillId="0" borderId="4" xfId="0" applyFont="true" applyBorder="true"/>
    <xf numFmtId="0" fontId="250" fillId="0" borderId="4" xfId="0" applyFont="true" applyBorder="true"/>
    <xf numFmtId="0" fontId="251" fillId="0" borderId="4" xfId="0" applyFont="true" applyBorder="true"/>
    <xf numFmtId="0" fontId="252" fillId="0" borderId="4" xfId="0" applyFont="true" applyBorder="true"/>
    <xf numFmtId="0" fontId="253" fillId="0" borderId="4" xfId="0" applyFont="true" applyBorder="true"/>
    <xf numFmtId="0" fontId="254" fillId="0" borderId="4" xfId="0" applyFont="true" applyBorder="true"/>
    <xf numFmtId="0" fontId="255" fillId="0" borderId="4" xfId="0" applyFont="true" applyBorder="true"/>
    <xf numFmtId="0" fontId="256" fillId="0" borderId="4" xfId="0" applyFont="true" applyBorder="true"/>
    <xf numFmtId="0" fontId="257" fillId="0" borderId="4" xfId="0" applyFont="true" applyBorder="true"/>
    <xf numFmtId="0" fontId="258" fillId="0" borderId="4" xfId="0" applyFont="true" applyBorder="true"/>
    <xf numFmtId="0" fontId="259" fillId="0" borderId="4" xfId="0" applyFont="true" applyBorder="true"/>
    <xf numFmtId="0" fontId="260" fillId="0" borderId="4" xfId="0" applyFont="true" applyBorder="true"/>
    <xf numFmtId="0" fontId="261" fillId="0" borderId="4" xfId="0" applyFont="true" applyBorder="true"/>
    <xf numFmtId="0" fontId="262" fillId="0" borderId="4" xfId="0" applyFont="true" applyBorder="true"/>
    <xf numFmtId="0" fontId="263" fillId="0" borderId="4" xfId="0" applyFont="true" applyBorder="true"/>
    <xf numFmtId="0" fontId="264" fillId="0" borderId="4" xfId="0" applyFont="true" applyBorder="true"/>
    <xf numFmtId="0" fontId="265" fillId="0" borderId="4" xfId="0" applyFont="true" applyBorder="true"/>
    <xf numFmtId="0" fontId="266" fillId="0" borderId="4" xfId="0" applyFont="true" applyBorder="true"/>
    <xf numFmtId="0" fontId="267" fillId="0" borderId="4" xfId="0" applyFont="true" applyBorder="true"/>
    <xf numFmtId="0" fontId="268" fillId="0" borderId="4" xfId="0" applyFont="true" applyBorder="true"/>
    <xf numFmtId="0" fontId="269" fillId="0" borderId="4" xfId="0" applyFont="true" applyBorder="true"/>
    <xf numFmtId="0" fontId="270" fillId="0" borderId="4" xfId="0" applyFont="true" applyBorder="true"/>
    <xf numFmtId="0" fontId="271" fillId="0" borderId="4" xfId="0" applyFont="true" applyBorder="true"/>
    <xf numFmtId="0" fontId="272" fillId="0" borderId="4" xfId="0" applyFont="true" applyBorder="true"/>
    <xf numFmtId="0" fontId="273" fillId="0" borderId="4" xfId="0" applyFont="true" applyBorder="true"/>
    <xf numFmtId="0" fontId="274" fillId="0" borderId="4" xfId="0" applyFont="true" applyBorder="true"/>
    <xf numFmtId="0" fontId="275" fillId="0" borderId="4" xfId="0" applyFont="true" applyBorder="true"/>
    <xf numFmtId="0" fontId="276" fillId="0" borderId="4" xfId="0" applyFont="true" applyBorder="true"/>
    <xf numFmtId="0" fontId="277" fillId="0" borderId="4" xfId="0" applyFont="true" applyBorder="true"/>
    <xf numFmtId="0" fontId="278" fillId="0" borderId="4" xfId="0" applyFont="true" applyBorder="true"/>
    <xf numFmtId="0" fontId="279" fillId="0" borderId="0" xfId="0" applyFont="true" applyAlignment="true">
      <alignment horizontal="center"/>
    </xf>
    <xf numFmtId="0" fontId="280" fillId="0" borderId="0" xfId="0" applyFont="true" applyAlignment="true">
      <alignment horizontal="center"/>
    </xf>
    <xf numFmtId="0" fontId="281" fillId="0" borderId="0" xfId="0" applyFont="true" applyAlignment="true">
      <alignment horizontal="center"/>
    </xf>
    <xf numFmtId="164" fontId="282" fillId="0" borderId="4" xfId="0" applyFont="true" applyBorder="true" applyNumberFormat="true"/>
    <xf numFmtId="0" fontId="283" fillId="0" borderId="0" xfId="0" applyFont="true" applyAlignment="true">
      <alignment horizontal="center"/>
    </xf>
    <xf numFmtId="0" fontId="284" fillId="0" borderId="0" xfId="0" applyFont="true" applyAlignment="true">
      <alignment horizontal="center"/>
    </xf>
    <xf numFmtId="164" fontId="285" fillId="0" borderId="4" xfId="0" applyFont="true" applyBorder="true" applyNumberFormat="true"/>
    <xf numFmtId="0" fontId="286" fillId="0" borderId="0" xfId="0" applyFont="true" applyAlignment="true">
      <alignment horizontal="center"/>
    </xf>
    <xf numFmtId="0" fontId="287" fillId="0" borderId="0" xfId="0" applyFont="true" applyAlignment="true">
      <alignment horizontal="center"/>
    </xf>
    <xf numFmtId="164" fontId="288" fillId="0" borderId="4" xfId="0" applyFont="true" applyBorder="true" applyNumberFormat="true"/>
    <xf numFmtId="0" fontId="289" fillId="0" borderId="0" xfId="0" applyFont="true" applyAlignment="true">
      <alignment horizontal="center"/>
    </xf>
    <xf numFmtId="0" fontId="290" fillId="0" borderId="0" xfId="0" applyFont="true" applyAlignment="true">
      <alignment horizontal="center"/>
    </xf>
    <xf numFmtId="164" fontId="291" fillId="0" borderId="4" xfId="0" applyFont="true" applyBorder="true" applyNumberFormat="true"/>
    <xf numFmtId="0" fontId="292" fillId="0" borderId="0" xfId="0" applyFont="true" applyAlignment="true">
      <alignment horizontal="center"/>
    </xf>
    <xf numFmtId="0" fontId="293" fillId="0" borderId="0" xfId="0" applyFont="true" applyAlignment="true">
      <alignment horizontal="center"/>
    </xf>
    <xf numFmtId="164" fontId="294" fillId="0" borderId="4" xfId="0" applyFont="true" applyBorder="true" applyNumberFormat="true"/>
    <xf numFmtId="0" fontId="295" fillId="0" borderId="0" xfId="0" applyFont="true" applyAlignment="true">
      <alignment horizontal="center"/>
    </xf>
    <xf numFmtId="0" fontId="296" fillId="0" borderId="0" xfId="0" applyFont="true" applyAlignment="true">
      <alignment horizontal="center"/>
    </xf>
    <xf numFmtId="164" fontId="297" fillId="0" borderId="4" xfId="0" applyFont="true" applyBorder="true" applyNumberFormat="true"/>
    <xf numFmtId="0" fontId="298" fillId="0" borderId="0" xfId="0" applyFont="true" applyAlignment="true">
      <alignment horizontal="center"/>
    </xf>
    <xf numFmtId="0" fontId="299" fillId="0" borderId="0" xfId="0" applyFont="true" applyAlignment="true">
      <alignment horizontal="center"/>
    </xf>
    <xf numFmtId="164" fontId="300" fillId="0" borderId="4" xfId="0" applyFont="true" applyBorder="true" applyNumberFormat="true"/>
    <xf numFmtId="0" fontId="301" fillId="0" borderId="0" xfId="0" applyFont="true" applyAlignment="true">
      <alignment horizontal="center"/>
    </xf>
    <xf numFmtId="0" fontId="302" fillId="0" borderId="0" xfId="0" applyFont="true" applyAlignment="true">
      <alignment horizontal="center"/>
    </xf>
    <xf numFmtId="164" fontId="303" fillId="0" borderId="4" xfId="0" applyFont="true" applyBorder="true" applyNumberFormat="true"/>
    <xf numFmtId="0" fontId="304" fillId="0" borderId="0" xfId="0" applyFont="true" applyAlignment="true">
      <alignment horizontal="center"/>
    </xf>
    <xf numFmtId="0" fontId="305" fillId="0" borderId="0" xfId="0" applyFont="true" applyAlignment="true">
      <alignment horizontal="center"/>
    </xf>
    <xf numFmtId="164" fontId="306" fillId="0" borderId="4" xfId="0" applyFont="true" applyBorder="true" applyNumberFormat="true"/>
    <xf numFmtId="0" fontId="307" fillId="0" borderId="0" xfId="0" applyFont="true" applyAlignment="true">
      <alignment horizontal="center"/>
    </xf>
    <xf numFmtId="0" fontId="308" fillId="0" borderId="0" xfId="0" applyFont="true" applyAlignment="true">
      <alignment horizontal="center"/>
    </xf>
    <xf numFmtId="164" fontId="309" fillId="0" borderId="4" xfId="0" applyFont="true" applyBorder="true" applyNumberFormat="true"/>
    <xf numFmtId="0" fontId="310" fillId="0" borderId="0" xfId="0" applyFont="true" applyAlignment="true">
      <alignment horizontal="center"/>
    </xf>
    <xf numFmtId="0" fontId="311" fillId="0" borderId="0" xfId="0" applyFont="true" applyAlignment="true">
      <alignment horizontal="center"/>
    </xf>
    <xf numFmtId="164" fontId="312" fillId="0" borderId="4" xfId="0" applyFont="true" applyBorder="true" applyNumberFormat="true"/>
    <xf numFmtId="0" fontId="313" fillId="0" borderId="0" xfId="0" applyFont="true" applyAlignment="true">
      <alignment horizontal="center"/>
    </xf>
    <xf numFmtId="0" fontId="314" fillId="0" borderId="0" xfId="0" applyFont="true" applyAlignment="true">
      <alignment horizontal="center"/>
    </xf>
    <xf numFmtId="164" fontId="315" fillId="0" borderId="4" xfId="0" applyFont="true" applyBorder="true" applyNumberFormat="true"/>
    <xf numFmtId="0" fontId="316" fillId="0" borderId="0" xfId="0" applyFont="true" applyAlignment="true">
      <alignment horizontal="center"/>
    </xf>
    <xf numFmtId="0" fontId="317" fillId="0" borderId="0" xfId="0" applyFont="true" applyAlignment="true">
      <alignment horizontal="center"/>
    </xf>
    <xf numFmtId="164" fontId="318" fillId="0" borderId="4" xfId="0" applyFont="true" applyBorder="true" applyNumberFormat="true"/>
    <xf numFmtId="0" fontId="319" fillId="0" borderId="0" xfId="0" applyFont="true" applyAlignment="true">
      <alignment horizontal="center"/>
    </xf>
    <xf numFmtId="0" fontId="320" fillId="0" borderId="0" xfId="0" applyFont="true" applyAlignment="true">
      <alignment horizontal="center"/>
    </xf>
    <xf numFmtId="164" fontId="321" fillId="0" borderId="4" xfId="0" applyFont="true" applyBorder="true" applyNumberFormat="true"/>
    <xf numFmtId="0" fontId="322" fillId="0" borderId="0" xfId="0" applyFont="true" applyAlignment="true">
      <alignment horizontal="center"/>
    </xf>
    <xf numFmtId="0" fontId="323" fillId="0" borderId="0" xfId="0" applyFont="true" applyAlignment="true">
      <alignment horizontal="center"/>
    </xf>
    <xf numFmtId="164" fontId="324" fillId="0" borderId="4" xfId="0" applyFont="true" applyBorder="true" applyNumberFormat="true"/>
    <xf numFmtId="0" fontId="325" fillId="0" borderId="0" xfId="0" applyFont="true" applyAlignment="true">
      <alignment horizontal="center"/>
    </xf>
    <xf numFmtId="0" fontId="326" fillId="0" borderId="0" xfId="0" applyFont="true" applyAlignment="true">
      <alignment horizontal="center"/>
    </xf>
    <xf numFmtId="164" fontId="327" fillId="0" borderId="4" xfId="0" applyFont="true" applyBorder="true" applyNumberFormat="true"/>
    <xf numFmtId="0" fontId="328" fillId="0" borderId="0" xfId="0" applyFont="true" applyAlignment="true">
      <alignment horizontal="center"/>
    </xf>
    <xf numFmtId="0" fontId="329" fillId="0" borderId="0" xfId="0" applyFont="true" applyAlignment="true">
      <alignment horizontal="center"/>
    </xf>
    <xf numFmtId="0" fontId="330" fillId="0" borderId="0" xfId="0" applyFont="true" applyAlignment="true">
      <alignment horizontal="center"/>
    </xf>
    <xf numFmtId="0" fontId="331" fillId="0" borderId="4" xfId="0" applyFont="true" applyBorder="true"/>
    <xf numFmtId="0" fontId="332" fillId="0" borderId="4" xfId="0" applyFont="true" applyBorder="true"/>
    <xf numFmtId="0" fontId="333" fillId="0" borderId="4" xfId="0" applyFont="true" applyBorder="true"/>
    <xf numFmtId="0" fontId="334" fillId="0" borderId="4" xfId="0" applyFont="true" applyBorder="true"/>
    <xf numFmtId="0" fontId="335" fillId="0" borderId="4" xfId="0" applyFont="true" applyBorder="true"/>
    <xf numFmtId="0" fontId="336" fillId="0" borderId="4" xfId="0" applyFont="true" applyBorder="true"/>
    <xf numFmtId="0" fontId="337" fillId="0" borderId="4" xfId="0" applyFont="true" applyBorder="true"/>
    <xf numFmtId="0" fontId="338" fillId="0" borderId="4" xfId="0" applyFont="true" applyBorder="true"/>
    <xf numFmtId="0" fontId="339" fillId="0" borderId="4" xfId="0" applyFont="true" applyBorder="true"/>
    <xf numFmtId="0" fontId="340" fillId="0" borderId="4" xfId="0" applyFont="true" applyBorder="true"/>
    <xf numFmtId="0" fontId="341" fillId="0" borderId="4" xfId="0" applyFont="true" applyBorder="true"/>
    <xf numFmtId="0" fontId="342" fillId="0" borderId="4" xfId="0" applyFont="true" applyBorder="true"/>
    <xf numFmtId="0" fontId="343" fillId="0" borderId="4" xfId="0" applyFont="true" applyBorder="true"/>
    <xf numFmtId="0" fontId="344" fillId="0" borderId="4" xfId="0" applyFont="true" applyBorder="true"/>
    <xf numFmtId="0" fontId="345" fillId="0" borderId="4" xfId="0" applyFont="true" applyBorder="true"/>
    <xf numFmtId="0" fontId="346" fillId="0" borderId="4" xfId="0" applyFont="true" applyBorder="true"/>
    <xf numFmtId="0" fontId="347" fillId="0" borderId="4" xfId="0" applyFont="true" applyBorder="true"/>
    <xf numFmtId="0" fontId="348" fillId="0" borderId="4" xfId="0" applyFont="true" applyBorder="true"/>
    <xf numFmtId="0" fontId="349" fillId="0" borderId="4" xfId="0" applyFont="true" applyBorder="true"/>
    <xf numFmtId="0" fontId="350" fillId="0" borderId="4" xfId="0" applyFont="true" applyBorder="true"/>
    <xf numFmtId="0" fontId="351" fillId="0" borderId="4" xfId="0" applyFont="true" applyBorder="true"/>
    <xf numFmtId="0" fontId="352" fillId="0" borderId="4" xfId="0" applyFont="true" applyBorder="true"/>
    <xf numFmtId="0" fontId="353" fillId="0" borderId="4" xfId="0" applyFont="true" applyBorder="true"/>
    <xf numFmtId="0" fontId="354" fillId="0" borderId="4" xfId="0" applyFont="true" applyBorder="true"/>
    <xf numFmtId="0" fontId="355" fillId="0" borderId="4" xfId="0" applyFont="true" applyBorder="true"/>
    <xf numFmtId="0" fontId="356" fillId="0" borderId="4" xfId="0" applyFont="true" applyBorder="true"/>
    <xf numFmtId="0" fontId="357" fillId="0" borderId="4" xfId="0" applyFont="true" applyBorder="true"/>
    <xf numFmtId="0" fontId="358" fillId="0" borderId="4" xfId="0" applyFont="true" applyBorder="true"/>
    <xf numFmtId="0" fontId="359" fillId="0" borderId="4" xfId="0" applyFont="true" applyBorder="true"/>
    <xf numFmtId="0" fontId="360" fillId="0" borderId="4" xfId="0" applyFont="true" applyBorder="true"/>
    <xf numFmtId="0" fontId="361" fillId="0" borderId="4" xfId="0" applyFont="true" applyBorder="true"/>
    <xf numFmtId="0" fontId="362" fillId="0" borderId="4" xfId="0" applyFont="true" applyBorder="true"/>
    <xf numFmtId="0" fontId="363" fillId="0" borderId="4" xfId="0" applyFont="true" applyBorder="true"/>
    <xf numFmtId="0" fontId="364" fillId="0" borderId="4" xfId="0" applyFont="true" applyBorder="true"/>
    <xf numFmtId="0" fontId="365" fillId="0" borderId="4" xfId="0" applyFont="true" applyBorder="true"/>
    <xf numFmtId="0" fontId="366" fillId="0" borderId="4" xfId="0" applyFont="true" applyBorder="true"/>
    <xf numFmtId="0" fontId="367" fillId="0" borderId="4" xfId="0" applyFont="true" applyBorder="true"/>
    <xf numFmtId="0" fontId="368" fillId="0" borderId="4" xfId="0" applyFont="true" applyBorder="true"/>
    <xf numFmtId="0" fontId="369" fillId="0" borderId="4" xfId="0" applyFont="true" applyBorder="true"/>
    <xf numFmtId="0" fontId="370" fillId="0" borderId="4" xfId="0" applyFont="true" applyBorder="true"/>
    <xf numFmtId="0" fontId="371" fillId="0" borderId="4" xfId="0" applyFont="true" applyBorder="true"/>
    <xf numFmtId="0" fontId="372" fillId="0" borderId="4" xfId="0" applyFont="true" applyBorder="true"/>
    <xf numFmtId="0" fontId="373" fillId="0" borderId="4" xfId="0" applyFont="true" applyBorder="true"/>
    <xf numFmtId="0" fontId="374" fillId="0" borderId="4" xfId="0" applyFont="true" applyBorder="true"/>
    <xf numFmtId="0" fontId="375" fillId="0" borderId="4" xfId="0" applyFont="true" applyBorder="true"/>
    <xf numFmtId="0" fontId="376" fillId="0" borderId="4" xfId="0" applyFont="true" applyBorder="true"/>
    <xf numFmtId="0" fontId="377" fillId="0" borderId="4" xfId="0" applyFont="true" applyBorder="true"/>
    <xf numFmtId="0" fontId="378" fillId="0" borderId="4" xfId="0" applyFont="true" applyBorder="true"/>
    <xf numFmtId="0" fontId="379" fillId="0" borderId="4" xfId="0" applyFont="true" applyBorder="true"/>
    <xf numFmtId="0" fontId="380" fillId="0" borderId="4" xfId="0" applyFont="true" applyBorder="true"/>
    <xf numFmtId="0" fontId="381" fillId="0" borderId="4" xfId="0" applyFont="true" applyBorder="true"/>
    <xf numFmtId="0" fontId="382" fillId="0" borderId="4" xfId="0" applyFont="true" applyBorder="true"/>
    <xf numFmtId="0" fontId="383" fillId="0" borderId="4" xfId="0" applyFont="true" applyBorder="true"/>
    <xf numFmtId="0" fontId="384" fillId="0" borderId="4" xfId="0" applyFont="true" applyBorder="true"/>
    <xf numFmtId="0" fontId="385" fillId="0" borderId="4" xfId="0" applyFont="true" applyBorder="true"/>
    <xf numFmtId="0" fontId="386" fillId="0" borderId="4" xfId="0" applyFont="true" applyBorder="true"/>
    <xf numFmtId="0" fontId="387" fillId="0" borderId="4" xfId="0" applyFont="true" applyBorder="true"/>
    <xf numFmtId="0" fontId="388" fillId="0" borderId="4" xfId="0" applyFont="true" applyBorder="true"/>
    <xf numFmtId="0" fontId="389" fillId="0" borderId="4" xfId="0" applyFont="true" applyBorder="true"/>
    <xf numFmtId="0" fontId="390" fillId="0" borderId="4" xfId="0" applyFont="true" applyBorder="true"/>
    <xf numFmtId="0" fontId="391" fillId="0" borderId="4" xfId="0" applyFont="true" applyBorder="true"/>
    <xf numFmtId="0" fontId="392" fillId="0" borderId="4" xfId="0" applyFont="true" applyBorder="true"/>
    <xf numFmtId="0" fontId="393" fillId="0" borderId="4" xfId="0" applyFont="true" applyBorder="true"/>
    <xf numFmtId="0" fontId="394" fillId="0" borderId="4" xfId="0" applyFont="true" applyBorder="true"/>
    <xf numFmtId="0" fontId="395" fillId="0" borderId="4" xfId="0" applyFont="true" applyBorder="true"/>
    <xf numFmtId="0" fontId="396" fillId="0" borderId="4" xfId="0" applyFont="true" applyBorder="true"/>
    <xf numFmtId="0" fontId="397" fillId="0" borderId="4" xfId="0" applyFont="true" applyBorder="true"/>
    <xf numFmtId="0" fontId="398" fillId="0" borderId="4" xfId="0" applyFont="true" applyBorder="true"/>
    <xf numFmtId="0" fontId="399" fillId="0" borderId="4" xfId="0" applyFont="true" applyBorder="true"/>
    <xf numFmtId="0" fontId="400" fillId="0" borderId="4" xfId="0" applyFont="true" applyBorder="true"/>
    <xf numFmtId="0" fontId="401" fillId="0" borderId="4" xfId="0" applyFont="true" applyBorder="true"/>
    <xf numFmtId="0" fontId="402" fillId="0" borderId="4" xfId="0" applyFont="true" applyBorder="true"/>
    <xf numFmtId="0" fontId="403" fillId="0" borderId="4" xfId="0" applyFont="true" applyBorder="true"/>
    <xf numFmtId="0" fontId="404" fillId="0" borderId="4" xfId="0" applyFont="true" applyBorder="true"/>
    <xf numFmtId="0" fontId="405" fillId="0" borderId="4" xfId="0" applyFont="true" applyBorder="true"/>
    <xf numFmtId="0" fontId="406" fillId="0" borderId="4" xfId="0" applyFont="true" applyBorder="true"/>
    <xf numFmtId="0" fontId="407" fillId="0" borderId="4" xfId="0" applyFont="true" applyBorder="true"/>
    <xf numFmtId="0" fontId="408" fillId="0" borderId="4" xfId="0" applyFont="true" applyBorder="true"/>
    <xf numFmtId="0" fontId="409" fillId="0" borderId="4" xfId="0" applyFont="true" applyBorder="true"/>
    <xf numFmtId="0" fontId="410" fillId="0" borderId="4" xfId="0" applyFont="true" applyBorder="true"/>
    <xf numFmtId="0" fontId="411" fillId="0" borderId="4" xfId="0" applyFont="true" applyBorder="true"/>
    <xf numFmtId="0" fontId="412" fillId="0" borderId="4" xfId="0" applyFont="true" applyBorder="true"/>
    <xf numFmtId="0" fontId="413" fillId="0" borderId="4" xfId="0" applyFont="true" applyBorder="true"/>
    <xf numFmtId="0" fontId="414" fillId="0" borderId="4" xfId="0" applyFont="true" applyBorder="true"/>
    <xf numFmtId="0" fontId="415" fillId="0" borderId="4" xfId="0" applyFont="true" applyBorder="true"/>
    <xf numFmtId="0" fontId="416" fillId="0" borderId="4" xfId="0" applyFont="true" applyBorder="true"/>
    <xf numFmtId="0" fontId="417" fillId="0" borderId="4" xfId="0" applyFont="true" applyBorder="true"/>
    <xf numFmtId="0" fontId="418" fillId="0" borderId="4" xfId="0" applyFont="true" applyBorder="true"/>
    <xf numFmtId="0" fontId="419" fillId="0" borderId="4" xfId="0" applyFont="true" applyBorder="true"/>
    <xf numFmtId="0" fontId="420" fillId="0" borderId="4" xfId="0" applyFont="true" applyBorder="true"/>
    <xf numFmtId="0" fontId="421" fillId="0" borderId="4" xfId="0" applyFont="true" applyBorder="true"/>
    <xf numFmtId="0" fontId="422" fillId="0" borderId="4" xfId="0" applyFont="true" applyBorder="true"/>
    <xf numFmtId="0" fontId="423" fillId="0" borderId="4" xfId="0" applyFont="true" applyBorder="true"/>
    <xf numFmtId="0" fontId="424" fillId="0" borderId="4" xfId="0" applyFont="true" applyBorder="true"/>
    <xf numFmtId="0" fontId="425" fillId="0" borderId="4" xfId="0" applyFont="true" applyBorder="true"/>
    <xf numFmtId="0" fontId="426" fillId="0" borderId="4" xfId="0" applyFont="true" applyBorder="true"/>
    <xf numFmtId="0" fontId="427" fillId="0" borderId="4" xfId="0" applyFont="true" applyBorder="true"/>
    <xf numFmtId="0" fontId="428" fillId="0" borderId="4" xfId="0" applyFont="true" applyBorder="true"/>
    <xf numFmtId="0" fontId="429" fillId="0" borderId="4" xfId="0" applyFont="true" applyBorder="true"/>
    <xf numFmtId="0" fontId="430" fillId="0" borderId="4" xfId="0" applyFont="true" applyBorder="true"/>
    <xf numFmtId="0" fontId="431" fillId="0" borderId="4" xfId="0" applyFont="true" applyBorder="true"/>
    <xf numFmtId="0" fontId="432" fillId="0" borderId="4" xfId="0" applyFont="true" applyBorder="true"/>
    <xf numFmtId="0" fontId="433" fillId="0" borderId="4" xfId="0" applyFont="true" applyBorder="true"/>
    <xf numFmtId="0" fontId="434" fillId="0" borderId="4" xfId="0" applyFont="true" applyBorder="true"/>
    <xf numFmtId="0" fontId="435" fillId="0" borderId="4" xfId="0" applyFont="true" applyBorder="true"/>
    <xf numFmtId="0" fontId="436" fillId="0" borderId="4" xfId="0" applyFont="true" applyBorder="true"/>
    <xf numFmtId="0" fontId="437" fillId="0" borderId="4" xfId="0" applyFont="true" applyBorder="true"/>
    <xf numFmtId="0" fontId="438" fillId="0" borderId="4" xfId="0" applyFont="true" applyBorder="true"/>
    <xf numFmtId="0" fontId="439" fillId="0" borderId="4" xfId="0" applyFont="true" applyBorder="true"/>
    <xf numFmtId="0" fontId="440" fillId="0" borderId="4" xfId="0" applyFont="true" applyBorder="true"/>
    <xf numFmtId="0" fontId="441" fillId="0" borderId="4" xfId="0" applyFont="true" applyBorder="true"/>
    <xf numFmtId="0" fontId="442" fillId="0" borderId="4" xfId="0" applyFont="true" applyBorder="true"/>
    <xf numFmtId="0" fontId="443" fillId="0" borderId="4" xfId="0" applyFont="true" applyBorder="true"/>
    <xf numFmtId="0" fontId="444" fillId="0" borderId="4" xfId="0" applyFont="true" applyBorder="true"/>
    <xf numFmtId="0" fontId="445" fillId="0" borderId="4" xfId="0" applyFont="true" applyBorder="true"/>
    <xf numFmtId="0" fontId="446" fillId="0" borderId="4" xfId="0" applyFont="true" applyBorder="true"/>
    <xf numFmtId="0" fontId="447" fillId="0" borderId="4" xfId="0" applyFont="true" applyBorder="true"/>
    <xf numFmtId="0" fontId="448" fillId="0" borderId="4" xfId="0" applyFont="true" applyBorder="true"/>
    <xf numFmtId="0" fontId="449" fillId="0" borderId="4" xfId="0" applyFont="true" applyBorder="true"/>
    <xf numFmtId="0" fontId="450" fillId="0" borderId="4" xfId="0" applyFont="true" applyBorder="true"/>
    <xf numFmtId="0" fontId="451" fillId="0" borderId="4" xfId="0" applyFont="true" applyBorder="true"/>
    <xf numFmtId="0" fontId="452" fillId="0" borderId="4" xfId="0" applyFont="true" applyBorder="true"/>
    <xf numFmtId="0" fontId="453" fillId="0" borderId="4" xfId="0" applyFont="true" applyBorder="true"/>
    <xf numFmtId="0" fontId="454" fillId="0" borderId="4" xfId="0" applyFont="true" applyBorder="true"/>
    <xf numFmtId="0" fontId="455" fillId="0" borderId="4" xfId="0" applyFont="true" applyBorder="true"/>
    <xf numFmtId="0" fontId="456" fillId="0" borderId="4" xfId="0" applyFont="true" applyBorder="true"/>
    <xf numFmtId="0" fontId="457" fillId="0" borderId="4" xfId="0" applyFont="true" applyBorder="true"/>
    <xf numFmtId="0" fontId="458" fillId="0" borderId="4" xfId="0" applyFont="true" applyBorder="true"/>
    <xf numFmtId="0" fontId="459" fillId="0" borderId="4" xfId="0" applyFont="true" applyBorder="true"/>
    <xf numFmtId="0" fontId="460" fillId="0" borderId="4" xfId="0" applyFont="true" applyBorder="true"/>
    <xf numFmtId="0" fontId="461" fillId="0" borderId="4" xfId="0" applyFont="true" applyBorder="true"/>
    <xf numFmtId="0" fontId="462" fillId="0" borderId="4" xfId="0" applyFont="true" applyBorder="true"/>
    <xf numFmtId="0" fontId="463" fillId="0" borderId="4" xfId="0" applyFont="true" applyBorder="true"/>
    <xf numFmtId="0" fontId="464" fillId="0" borderId="4" xfId="0" applyFont="true" applyBorder="true"/>
    <xf numFmtId="0" fontId="465" fillId="0" borderId="4" xfId="0" applyFont="true" applyBorder="true"/>
    <xf numFmtId="0" fontId="466" fillId="0" borderId="4" xfId="0" applyFont="true" applyBorder="true"/>
    <xf numFmtId="0" fontId="467" fillId="0" borderId="4" xfId="0" applyFont="true" applyBorder="true"/>
    <xf numFmtId="0" fontId="468" fillId="0" borderId="4" xfId="0" applyFont="true" applyBorder="true"/>
    <xf numFmtId="0" fontId="469" fillId="0" borderId="4" xfId="0" applyFont="true" applyBorder="true"/>
    <xf numFmtId="0" fontId="470" fillId="0" borderId="4" xfId="0" applyFont="true" applyBorder="true"/>
    <xf numFmtId="0" fontId="471" fillId="0" borderId="4" xfId="0" applyFont="true" applyBorder="true"/>
    <xf numFmtId="0" fontId="472" fillId="0" borderId="4" xfId="0" applyFont="true" applyBorder="true"/>
    <xf numFmtId="0" fontId="473" fillId="0" borderId="4" xfId="0" applyFont="true" applyBorder="true"/>
    <xf numFmtId="0" fontId="474" fillId="0" borderId="4" xfId="0" applyFont="true" applyBorder="true"/>
    <xf numFmtId="0" fontId="475" fillId="0" borderId="4" xfId="0" applyFont="true" applyBorder="true"/>
    <xf numFmtId="0" fontId="476" fillId="0" borderId="4" xfId="0" applyFont="true" applyBorder="true"/>
    <xf numFmtId="0" fontId="477" fillId="0" borderId="4" xfId="0" applyFont="true" applyBorder="true"/>
    <xf numFmtId="0" fontId="478" fillId="0" borderId="4" xfId="0" applyFont="true" applyBorder="true"/>
    <xf numFmtId="0" fontId="479" fillId="0" borderId="4" xfId="0" applyFont="true" applyBorder="true"/>
    <xf numFmtId="0" fontId="480" fillId="0" borderId="4" xfId="0" applyFont="true" applyBorder="true"/>
    <xf numFmtId="0" fontId="481" fillId="0" borderId="4" xfId="0" applyFont="true" applyBorder="true"/>
    <xf numFmtId="0" fontId="482" fillId="0" borderId="4" xfId="0" applyFont="true" applyBorder="true"/>
    <xf numFmtId="0" fontId="483" fillId="0" borderId="4" xfId="0" applyFont="true" applyBorder="true"/>
    <xf numFmtId="0" fontId="484" fillId="0" borderId="4" xfId="0" applyFont="true" applyBorder="true"/>
    <xf numFmtId="0" fontId="485" fillId="0" borderId="4" xfId="0" applyFont="true" applyBorder="true"/>
    <xf numFmtId="0" fontId="486" fillId="0" borderId="4" xfId="0" applyFont="true" applyBorder="true"/>
    <xf numFmtId="0" fontId="487" fillId="0" borderId="4" xfId="0" applyFont="true" applyBorder="true"/>
    <xf numFmtId="0" fontId="488" fillId="0" borderId="4" xfId="0" applyFont="true" applyBorder="true"/>
    <xf numFmtId="0" fontId="489" fillId="0" borderId="4" xfId="0" applyFont="true" applyBorder="true"/>
    <xf numFmtId="0" fontId="490" fillId="0" borderId="4" xfId="0" applyFont="true" applyBorder="true"/>
    <xf numFmtId="0" fontId="491" fillId="0" borderId="4" xfId="0" applyFont="true" applyBorder="true"/>
    <xf numFmtId="0" fontId="492" fillId="0" borderId="4" xfId="0" applyFont="true" applyBorder="true"/>
    <xf numFmtId="0" fontId="493" fillId="0" borderId="4" xfId="0" applyFont="true" applyBorder="true"/>
    <xf numFmtId="0" fontId="494" fillId="0" borderId="4" xfId="0" applyFont="true" applyBorder="true"/>
    <xf numFmtId="0" fontId="495" fillId="0" borderId="4" xfId="0" applyFont="true" applyBorder="true"/>
    <xf numFmtId="0" fontId="496" fillId="0" borderId="4" xfId="0" applyFont="true" applyBorder="true"/>
    <xf numFmtId="0" fontId="497" fillId="0" borderId="4" xfId="0" applyFont="true" applyBorder="true"/>
    <xf numFmtId="0" fontId="498" fillId="0" borderId="4" xfId="0" applyFont="true" applyBorder="true"/>
    <xf numFmtId="0" fontId="499" fillId="0" borderId="4" xfId="0" applyFont="true" applyBorder="true"/>
    <xf numFmtId="0" fontId="500" fillId="0" borderId="4" xfId="0" applyFont="true" applyBorder="true"/>
    <xf numFmtId="0" fontId="501" fillId="0" borderId="4" xfId="0" applyFont="true" applyBorder="true"/>
    <xf numFmtId="0" fontId="502" fillId="0" borderId="4" xfId="0" applyFont="true" applyBorder="true"/>
    <xf numFmtId="0" fontId="503" fillId="0" borderId="4" xfId="0" applyFont="true" applyBorder="true"/>
    <xf numFmtId="0" fontId="504" fillId="0" borderId="4" xfId="0" applyFont="true" applyBorder="true"/>
    <xf numFmtId="0" fontId="505" fillId="0" borderId="4" xfId="0" applyFont="true" applyBorder="true"/>
    <xf numFmtId="0" fontId="506" fillId="0" borderId="4" xfId="0" applyFont="true" applyBorder="true"/>
    <xf numFmtId="0" fontId="507" fillId="0" borderId="4" xfId="0" applyFont="true" applyBorder="true"/>
    <xf numFmtId="0" fontId="508" fillId="0" borderId="4" xfId="0" applyFont="true" applyBorder="true"/>
    <xf numFmtId="0" fontId="509" fillId="0" borderId="4" xfId="0" applyFont="true" applyBorder="true"/>
    <xf numFmtId="0" fontId="510" fillId="0" borderId="4" xfId="0" applyFont="true" applyBorder="true"/>
    <xf numFmtId="0" fontId="511" fillId="0" borderId="4" xfId="0" applyFont="true" applyBorder="true"/>
    <xf numFmtId="0" fontId="512" fillId="0" borderId="4" xfId="0" applyFont="true" applyBorder="true"/>
    <xf numFmtId="0" fontId="513" fillId="0" borderId="4" xfId="0" applyFont="true" applyBorder="true"/>
    <xf numFmtId="0" fontId="514" fillId="0" borderId="4" xfId="0" applyFont="true" applyBorder="true"/>
    <xf numFmtId="0" fontId="515" fillId="0" borderId="4" xfId="0" applyFont="true" applyBorder="true"/>
    <xf numFmtId="0" fontId="516" fillId="0" borderId="4" xfId="0" applyFont="true" applyBorder="true"/>
    <xf numFmtId="0" fontId="517" fillId="0" borderId="4" xfId="0" applyFont="true" applyBorder="true"/>
    <xf numFmtId="0" fontId="518" fillId="0" borderId="4" xfId="0" applyFont="true" applyBorder="true"/>
    <xf numFmtId="0" fontId="519" fillId="0" borderId="0" xfId="0" applyFont="true" applyAlignment="true">
      <alignment horizontal="center"/>
    </xf>
    <xf numFmtId="0" fontId="520" fillId="0" borderId="0" xfId="0" applyFont="true" applyAlignment="true">
      <alignment horizontal="center"/>
    </xf>
    <xf numFmtId="0" fontId="521" fillId="0" borderId="0" xfId="0" applyFont="true" applyAlignment="true">
      <alignment horizontal="center"/>
    </xf>
    <xf numFmtId="164" fontId="522" fillId="0" borderId="4" xfId="0" applyFont="true" applyBorder="true" applyNumberFormat="true"/>
    <xf numFmtId="0" fontId="523" fillId="0" borderId="0" xfId="0" applyFont="true" applyAlignment="true">
      <alignment horizontal="center"/>
    </xf>
    <xf numFmtId="0" fontId="524" fillId="0" borderId="0" xfId="0" applyFont="true" applyAlignment="true">
      <alignment horizontal="center"/>
    </xf>
    <xf numFmtId="164" fontId="525" fillId="0" borderId="4" xfId="0" applyFont="true" applyBorder="true" applyNumberFormat="true"/>
    <xf numFmtId="0" fontId="526" fillId="0" borderId="0" xfId="0" applyFont="true" applyAlignment="true">
      <alignment horizontal="center"/>
    </xf>
    <xf numFmtId="0" fontId="527" fillId="0" borderId="0" xfId="0" applyFont="true" applyAlignment="true">
      <alignment horizontal="center"/>
    </xf>
    <xf numFmtId="164" fontId="528" fillId="0" borderId="4" xfId="0" applyFont="true" applyBorder="true" applyNumberFormat="true"/>
    <xf numFmtId="0" fontId="529" fillId="0" borderId="0" xfId="0" applyFont="true" applyAlignment="true">
      <alignment horizontal="center"/>
    </xf>
    <xf numFmtId="0" fontId="530" fillId="0" borderId="0" xfId="0" applyFont="true" applyAlignment="true">
      <alignment horizontal="center"/>
    </xf>
    <xf numFmtId="164" fontId="531" fillId="0" borderId="4" xfId="0" applyFont="true" applyBorder="true" applyNumberFormat="true"/>
    <xf numFmtId="0" fontId="532" fillId="0" borderId="0" xfId="0" applyFont="true" applyAlignment="true">
      <alignment horizontal="center"/>
    </xf>
    <xf numFmtId="0" fontId="533" fillId="0" borderId="0" xfId="0" applyFont="true" applyAlignment="true">
      <alignment horizontal="center"/>
    </xf>
    <xf numFmtId="164" fontId="534" fillId="0" borderId="4" xfId="0" applyFont="true" applyBorder="true" applyNumberFormat="true"/>
    <xf numFmtId="0" fontId="535" fillId="0" borderId="0" xfId="0" applyFont="true" applyAlignment="true">
      <alignment horizontal="center"/>
    </xf>
    <xf numFmtId="0" fontId="536" fillId="0" borderId="0" xfId="0" applyFont="true" applyAlignment="true">
      <alignment horizontal="center"/>
    </xf>
    <xf numFmtId="164" fontId="537" fillId="0" borderId="4" xfId="0" applyFont="true" applyBorder="true" applyNumberFormat="true"/>
    <xf numFmtId="0" fontId="538" fillId="0" borderId="0" xfId="0" applyFont="true" applyAlignment="true">
      <alignment horizontal="center"/>
    </xf>
    <xf numFmtId="0" fontId="539" fillId="0" borderId="0" xfId="0" applyFont="true" applyAlignment="true">
      <alignment horizontal="center"/>
    </xf>
    <xf numFmtId="164" fontId="540" fillId="0" borderId="4" xfId="0" applyFont="true" applyBorder="true" applyNumberFormat="true"/>
    <xf numFmtId="0" fontId="541" fillId="0" borderId="0" xfId="0" applyFont="true" applyAlignment="true">
      <alignment horizontal="center"/>
    </xf>
    <xf numFmtId="0" fontId="542" fillId="0" borderId="0" xfId="0" applyFont="true" applyAlignment="true">
      <alignment horizontal="center"/>
    </xf>
    <xf numFmtId="164" fontId="543" fillId="0" borderId="4" xfId="0" applyFont="true" applyBorder="true" applyNumberFormat="true"/>
    <xf numFmtId="0" fontId="544" fillId="0" borderId="0" xfId="0" applyFont="true" applyAlignment="true">
      <alignment horizontal="center"/>
    </xf>
    <xf numFmtId="0" fontId="545" fillId="0" borderId="0" xfId="0" applyFont="true" applyAlignment="true">
      <alignment horizontal="center"/>
    </xf>
    <xf numFmtId="164" fontId="546" fillId="0" borderId="4" xfId="0" applyFont="true" applyBorder="true" applyNumberFormat="true"/>
    <xf numFmtId="0" fontId="547" fillId="0" borderId="0" xfId="0" applyFont="true" applyAlignment="true">
      <alignment horizontal="center"/>
    </xf>
    <xf numFmtId="0" fontId="548" fillId="0" borderId="0" xfId="0" applyFont="true" applyAlignment="true">
      <alignment horizontal="center"/>
    </xf>
    <xf numFmtId="164" fontId="549" fillId="0" borderId="4" xfId="0" applyFont="true" applyBorder="true" applyNumberFormat="true"/>
    <xf numFmtId="0" fontId="550" fillId="0" borderId="0" xfId="0" applyFont="true" applyAlignment="true">
      <alignment horizontal="center"/>
    </xf>
    <xf numFmtId="0" fontId="551" fillId="0" borderId="0" xfId="0" applyFont="true" applyAlignment="true">
      <alignment horizontal="center"/>
    </xf>
    <xf numFmtId="164" fontId="552" fillId="0" borderId="4" xfId="0" applyFont="true" applyBorder="true" applyNumberFormat="true"/>
    <xf numFmtId="0" fontId="553" fillId="0" borderId="0" xfId="0" applyFont="true" applyAlignment="true">
      <alignment horizontal="center"/>
    </xf>
    <xf numFmtId="0" fontId="554" fillId="0" borderId="0" xfId="0" applyFont="true" applyAlignment="true">
      <alignment horizontal="center"/>
    </xf>
    <xf numFmtId="164" fontId="555" fillId="0" borderId="4" xfId="0" applyFont="true" applyBorder="true" applyNumberFormat="true"/>
    <xf numFmtId="0" fontId="556" fillId="0" borderId="0" xfId="0" applyFont="true" applyAlignment="true">
      <alignment horizontal="center"/>
    </xf>
    <xf numFmtId="0" fontId="557" fillId="0" borderId="0" xfId="0" applyFont="true" applyAlignment="true">
      <alignment horizontal="center"/>
    </xf>
    <xf numFmtId="164" fontId="558" fillId="0" borderId="4" xfId="0" applyFont="true" applyBorder="true" applyNumberFormat="true"/>
    <xf numFmtId="0" fontId="559" fillId="0" borderId="0" xfId="0" applyFont="true" applyAlignment="true">
      <alignment horizontal="center"/>
    </xf>
    <xf numFmtId="0" fontId="560" fillId="0" borderId="0" xfId="0" applyFont="true" applyAlignment="true">
      <alignment horizontal="center"/>
    </xf>
    <xf numFmtId="164" fontId="561" fillId="0" borderId="4" xfId="0" applyFont="true" applyBorder="true" applyNumberFormat="true"/>
    <xf numFmtId="0" fontId="562" fillId="0" borderId="0" xfId="0" applyFont="true" applyAlignment="true">
      <alignment horizontal="center"/>
    </xf>
    <xf numFmtId="0" fontId="563" fillId="0" borderId="0" xfId="0" applyFont="true" applyAlignment="true">
      <alignment horizontal="center"/>
    </xf>
    <xf numFmtId="164" fontId="564" fillId="0" borderId="4" xfId="0" applyFont="true" applyBorder="true" applyNumberFormat="true"/>
    <xf numFmtId="0" fontId="565" fillId="0" borderId="0" xfId="0" applyFont="true" applyAlignment="true">
      <alignment horizontal="center"/>
    </xf>
    <xf numFmtId="0" fontId="566" fillId="0" borderId="0" xfId="0" applyFont="true" applyAlignment="true">
      <alignment horizontal="center"/>
    </xf>
    <xf numFmtId="164" fontId="567" fillId="0" borderId="4" xfId="0" applyFont="true" applyBorder="true" applyNumberFormat="true"/>
    <xf numFmtId="0" fontId="568" fillId="0" borderId="0" xfId="0" applyFont="true" applyAlignment="true">
      <alignment horizontal="center"/>
    </xf>
    <xf numFmtId="0" fontId="569" fillId="0" borderId="0" xfId="0" applyFont="true" applyAlignment="true">
      <alignment horizontal="center"/>
    </xf>
    <xf numFmtId="0" fontId="570" fillId="0" borderId="0" xfId="0" applyFont="true" applyAlignment="true">
      <alignment horizontal="center"/>
    </xf>
    <xf numFmtId="0" fontId="571" fillId="0" borderId="4" xfId="0" applyFont="true" applyBorder="true"/>
    <xf numFmtId="0" fontId="572" fillId="0" borderId="4" xfId="0" applyFont="true" applyBorder="true"/>
    <xf numFmtId="0" fontId="573" fillId="0" borderId="4" xfId="0" applyFont="true" applyBorder="true"/>
    <xf numFmtId="0" fontId="574" fillId="0" borderId="4" xfId="0" applyFont="true" applyBorder="true"/>
    <xf numFmtId="0" fontId="575" fillId="0" borderId="4" xfId="0" applyFont="true" applyBorder="true"/>
    <xf numFmtId="0" fontId="576" fillId="0" borderId="4" xfId="0" applyFont="true" applyBorder="true"/>
    <xf numFmtId="0" fontId="577" fillId="0" borderId="4" xfId="0" applyFont="true" applyBorder="true"/>
    <xf numFmtId="0" fontId="578" fillId="0" borderId="4" xfId="0" applyFont="true" applyBorder="true"/>
    <xf numFmtId="0" fontId="579" fillId="0" borderId="4" xfId="0" applyFont="true" applyBorder="true"/>
    <xf numFmtId="0" fontId="580" fillId="0" borderId="4" xfId="0" applyFont="true" applyBorder="true"/>
    <xf numFmtId="0" fontId="581" fillId="0" borderId="4" xfId="0" applyFont="true" applyBorder="true"/>
    <xf numFmtId="0" fontId="582" fillId="0" borderId="4" xfId="0" applyFont="true" applyBorder="true"/>
    <xf numFmtId="0" fontId="583" fillId="0" borderId="4" xfId="0" applyFont="true" applyBorder="true"/>
    <xf numFmtId="0" fontId="584" fillId="0" borderId="4" xfId="0" applyFont="true" applyBorder="true"/>
    <xf numFmtId="0" fontId="585" fillId="0" borderId="4" xfId="0" applyFont="true" applyBorder="true"/>
    <xf numFmtId="0" fontId="586" fillId="0" borderId="4" xfId="0" applyFont="true" applyBorder="true"/>
    <xf numFmtId="0" fontId="587" fillId="0" borderId="4" xfId="0" applyFont="true" applyBorder="true"/>
    <xf numFmtId="0" fontId="588" fillId="0" borderId="4" xfId="0" applyFont="true" applyBorder="true"/>
    <xf numFmtId="0" fontId="589" fillId="0" borderId="4" xfId="0" applyFont="true" applyBorder="true"/>
    <xf numFmtId="0" fontId="590" fillId="0" borderId="4" xfId="0" applyFont="true" applyBorder="true"/>
    <xf numFmtId="0" fontId="591" fillId="0" borderId="4" xfId="0" applyFont="true" applyBorder="true"/>
    <xf numFmtId="0" fontId="592" fillId="0" borderId="4" xfId="0" applyFont="true" applyBorder="true"/>
    <xf numFmtId="0" fontId="593" fillId="0" borderId="4" xfId="0" applyFont="true" applyBorder="true"/>
    <xf numFmtId="0" fontId="594" fillId="0" borderId="4" xfId="0" applyFont="true" applyBorder="true"/>
    <xf numFmtId="0" fontId="595" fillId="0" borderId="4" xfId="0" applyFont="true" applyBorder="true"/>
    <xf numFmtId="0" fontId="596" fillId="0" borderId="4" xfId="0" applyFont="true" applyBorder="true"/>
    <xf numFmtId="0" fontId="597" fillId="0" borderId="4" xfId="0" applyFont="true" applyBorder="true"/>
    <xf numFmtId="0" fontId="598" fillId="0" borderId="4" xfId="0" applyFont="true" applyBorder="true"/>
    <xf numFmtId="0" fontId="599" fillId="0" borderId="4" xfId="0" applyFont="true" applyBorder="true"/>
    <xf numFmtId="0" fontId="600" fillId="0" borderId="4" xfId="0" applyFont="true" applyBorder="true"/>
    <xf numFmtId="0" fontId="601" fillId="0" borderId="4" xfId="0" applyFont="true" applyBorder="true"/>
    <xf numFmtId="0" fontId="602" fillId="0" borderId="4" xfId="0" applyFont="true" applyBorder="true"/>
    <xf numFmtId="0" fontId="603" fillId="0" borderId="4" xfId="0" applyFont="true" applyBorder="true"/>
    <xf numFmtId="0" fontId="604" fillId="0" borderId="4" xfId="0" applyFont="true" applyBorder="true"/>
    <xf numFmtId="0" fontId="605" fillId="0" borderId="4" xfId="0" applyFont="true" applyBorder="true"/>
    <xf numFmtId="0" fontId="606" fillId="0" borderId="0" xfId="0" applyFont="true" applyAlignment="true">
      <alignment horizontal="center"/>
    </xf>
    <xf numFmtId="0" fontId="607" fillId="0" borderId="0" xfId="0" applyFont="true" applyAlignment="true">
      <alignment horizontal="center"/>
    </xf>
    <xf numFmtId="0" fontId="608" fillId="0" borderId="0" xfId="0" applyFont="true" applyAlignment="true">
      <alignment horizontal="center"/>
    </xf>
    <xf numFmtId="0" fontId="609" fillId="0" borderId="0" xfId="0" applyFont="true" applyAlignment="true">
      <alignment horizontal="center"/>
    </xf>
    <xf numFmtId="0" fontId="610" fillId="0" borderId="0" xfId="0" applyFont="true" applyAlignment="true">
      <alignment horizontal="center"/>
    </xf>
    <xf numFmtId="0" fontId="611" fillId="0" borderId="0" xfId="0" applyFont="true" applyAlignment="true">
      <alignment horizontal="center"/>
    </xf>
    <xf numFmtId="0" fontId="612" fillId="0" borderId="0" xfId="0" applyFont="true" applyAlignment="true">
      <alignment horizontal="center"/>
    </xf>
    <xf numFmtId="0" fontId="613" fillId="0" borderId="0" xfId="0" applyFont="true" applyAlignment="true">
      <alignment horizontal="center"/>
    </xf>
    <xf numFmtId="0" fontId="614" fillId="0" borderId="0" xfId="0" applyFont="true" applyAlignment="true">
      <alignment horizontal="center"/>
    </xf>
    <xf numFmtId="0" fontId="615" fillId="0" borderId="0" xfId="0" applyFont="true" applyAlignment="true">
      <alignment horizontal="center"/>
    </xf>
    <xf numFmtId="0" fontId="616" fillId="0" borderId="0" xfId="0" applyFont="true" applyAlignment="true">
      <alignment horizontal="center"/>
    </xf>
    <xf numFmtId="0" fontId="617" fillId="0" borderId="0" xfId="0" applyFont="true" applyAlignment="true">
      <alignment horizontal="center"/>
    </xf>
    <xf numFmtId="0" fontId="618" fillId="0" borderId="0" xfId="0" applyFont="true" applyAlignment="true">
      <alignment horizontal="center"/>
    </xf>
    <xf numFmtId="0" fontId="619" fillId="0" borderId="0" xfId="0" applyFont="true" applyAlignment="true">
      <alignment horizontal="center"/>
    </xf>
    <xf numFmtId="0" fontId="620" fillId="0" borderId="0" xfId="0" applyFont="true" applyAlignment="true">
      <alignment horizontal="center"/>
    </xf>
    <xf numFmtId="0" fontId="621" fillId="0" borderId="0" xfId="0" applyFont="true" applyAlignment="true">
      <alignment horizontal="center"/>
    </xf>
    <xf numFmtId="0" fontId="622" fillId="0" borderId="0" xfId="0" applyFont="true" applyAlignment="true">
      <alignment horizontal="center"/>
    </xf>
    <xf numFmtId="0" fontId="623" fillId="0" borderId="0" xfId="0" applyFont="true" applyAlignment="true">
      <alignment horizontal="center"/>
    </xf>
    <xf numFmtId="0" fontId="624" fillId="0" borderId="4" xfId="0" applyFont="true" applyBorder="true"/>
    <xf numFmtId="0" fontId="625" fillId="0" borderId="4" xfId="0" applyFont="true" applyBorder="true"/>
    <xf numFmtId="165" fontId="626" fillId="0" borderId="4" xfId="0" applyFont="true" applyBorder="true" applyNumberFormat="true"/>
    <xf numFmtId="165" fontId="627" fillId="0" borderId="4" xfId="0" applyFont="true" applyBorder="true" applyNumberFormat="true"/>
    <xf numFmtId="0" fontId="628" fillId="0" borderId="4" xfId="0" applyFont="true" applyBorder="true"/>
    <xf numFmtId="0" fontId="629" fillId="0" borderId="4" xfId="0" applyFont="true" applyBorder="true"/>
    <xf numFmtId="0" fontId="630" fillId="0" borderId="4" xfId="0" applyFont="true" applyBorder="true"/>
    <xf numFmtId="0" fontId="631" fillId="0" borderId="4" xfId="0" applyFont="true" applyBorder="true"/>
    <xf numFmtId="0" fontId="632" fillId="0" borderId="4" xfId="0" applyFont="true" applyBorder="true"/>
    <xf numFmtId="165" fontId="633" fillId="0" borderId="4" xfId="0" applyFont="true" applyBorder="true" applyNumberFormat="true"/>
    <xf numFmtId="165" fontId="634" fillId="0" borderId="4" xfId="0" applyFont="true" applyBorder="true" applyNumberFormat="true"/>
    <xf numFmtId="0" fontId="635" fillId="0" borderId="4" xfId="0" applyFont="true" applyBorder="true"/>
    <xf numFmtId="165" fontId="636" fillId="0" borderId="4" xfId="0" applyFont="true" applyBorder="true" applyNumberFormat="true"/>
    <xf numFmtId="165" fontId="637" fillId="0" borderId="4" xfId="0" applyFont="true" applyBorder="true" applyNumberFormat="true"/>
    <xf numFmtId="0" fontId="638" fillId="0" borderId="4" xfId="0" applyFont="true" applyBorder="true"/>
    <xf numFmtId="165" fontId="639" fillId="0" borderId="4" xfId="0" applyFont="true" applyBorder="true" applyNumberFormat="true"/>
    <xf numFmtId="165" fontId="640" fillId="0" borderId="4" xfId="0" applyFont="true" applyBorder="true" applyNumberFormat="true"/>
    <xf numFmtId="0" fontId="641" fillId="0" borderId="4" xfId="0" applyFont="true" applyBorder="true"/>
    <xf numFmtId="0" fontId="642" fillId="0" borderId="4" xfId="0" applyFont="true" applyBorder="true"/>
    <xf numFmtId="165" fontId="643" fillId="0" borderId="4" xfId="0" applyFont="true" applyBorder="true" applyNumberFormat="true"/>
    <xf numFmtId="165" fontId="644" fillId="0" borderId="4" xfId="0" applyFont="true" applyBorder="true" applyNumberFormat="true"/>
    <xf numFmtId="0" fontId="645" fillId="0" borderId="4" xfId="0" applyFont="true" applyBorder="true"/>
    <xf numFmtId="0" fontId="646" fillId="0" borderId="4" xfId="0" applyFont="true" applyBorder="true"/>
    <xf numFmtId="0" fontId="647" fillId="0" borderId="4" xfId="0" applyFont="true" applyBorder="true"/>
    <xf numFmtId="0" fontId="648" fillId="0" borderId="4" xfId="0" applyFont="true" applyBorder="true"/>
    <xf numFmtId="0" fontId="649" fillId="0" borderId="4" xfId="0" applyFont="true" applyBorder="true"/>
    <xf numFmtId="165" fontId="650" fillId="0" borderId="4" xfId="0" applyFont="true" applyBorder="true" applyNumberFormat="true"/>
    <xf numFmtId="165" fontId="651" fillId="0" borderId="4" xfId="0" applyFont="true" applyBorder="true" applyNumberFormat="true"/>
    <xf numFmtId="0" fontId="652" fillId="0" borderId="4" xfId="0" applyFont="true" applyBorder="true"/>
    <xf numFmtId="165" fontId="653" fillId="0" borderId="4" xfId="0" applyFont="true" applyBorder="true" applyNumberFormat="true"/>
    <xf numFmtId="165" fontId="654" fillId="0" borderId="4" xfId="0" applyFont="true" applyBorder="true" applyNumberFormat="true"/>
    <xf numFmtId="0" fontId="655" fillId="0" borderId="4" xfId="0" applyFont="true" applyBorder="true"/>
    <xf numFmtId="165" fontId="656" fillId="0" borderId="4" xfId="0" applyFont="true" applyBorder="true" applyNumberFormat="true"/>
    <xf numFmtId="165" fontId="657" fillId="0" borderId="4" xfId="0" applyFont="true" applyBorder="true" applyNumberFormat="true"/>
    <xf numFmtId="0" fontId="658" fillId="0" borderId="4" xfId="0" applyFont="true" applyBorder="true"/>
    <xf numFmtId="0" fontId="659" fillId="0" borderId="4" xfId="0" applyFont="true" applyBorder="true"/>
    <xf numFmtId="165" fontId="660" fillId="0" borderId="4" xfId="0" applyFont="true" applyBorder="true" applyNumberFormat="true"/>
    <xf numFmtId="165" fontId="661" fillId="0" borderId="4" xfId="0" applyFont="true" applyBorder="true" applyNumberFormat="true"/>
    <xf numFmtId="0" fontId="662" fillId="0" borderId="4" xfId="0" applyFont="true" applyBorder="true"/>
    <xf numFmtId="0" fontId="663" fillId="0" borderId="4" xfId="0" applyFont="true" applyBorder="true"/>
    <xf numFmtId="0" fontId="664" fillId="0" borderId="4" xfId="0" applyFont="true" applyBorder="true"/>
    <xf numFmtId="0" fontId="665" fillId="0" borderId="4" xfId="0" applyFont="true" applyBorder="true"/>
    <xf numFmtId="0" fontId="666" fillId="0" borderId="4" xfId="0" applyFont="true" applyBorder="true"/>
    <xf numFmtId="165" fontId="667" fillId="0" borderId="4" xfId="0" applyFont="true" applyBorder="true" applyNumberFormat="true"/>
    <xf numFmtId="165" fontId="668" fillId="0" borderId="4" xfId="0" applyFont="true" applyBorder="true" applyNumberFormat="true"/>
    <xf numFmtId="0" fontId="669" fillId="0" borderId="4" xfId="0" applyFont="true" applyBorder="true"/>
    <xf numFmtId="165" fontId="670" fillId="0" borderId="4" xfId="0" applyFont="true" applyBorder="true" applyNumberFormat="true"/>
    <xf numFmtId="165" fontId="671" fillId="0" borderId="4" xfId="0" applyFont="true" applyBorder="true" applyNumberFormat="true"/>
    <xf numFmtId="0" fontId="672" fillId="0" borderId="4" xfId="0" applyFont="true" applyBorder="true"/>
    <xf numFmtId="165" fontId="673" fillId="0" borderId="4" xfId="0" applyFont="true" applyBorder="true" applyNumberFormat="true"/>
    <xf numFmtId="165" fontId="674" fillId="0" borderId="4" xfId="0" applyFont="true" applyBorder="true" applyNumberFormat="true"/>
    <xf numFmtId="0" fontId="675" fillId="0" borderId="4" xfId="0" applyFont="true" applyBorder="true"/>
    <xf numFmtId="0" fontId="676" fillId="0" borderId="4" xfId="0" applyFont="true" applyBorder="true"/>
    <xf numFmtId="165" fontId="677" fillId="0" borderId="4" xfId="0" applyFont="true" applyBorder="true" applyNumberFormat="true"/>
    <xf numFmtId="165" fontId="678" fillId="0" borderId="4" xfId="0" applyFont="true" applyBorder="true" applyNumberFormat="true"/>
    <xf numFmtId="0" fontId="679" fillId="0" borderId="4" xfId="0" applyFont="true" applyBorder="true"/>
    <xf numFmtId="0" fontId="680" fillId="0" borderId="4" xfId="0" applyFont="true" applyBorder="true"/>
    <xf numFmtId="0" fontId="681" fillId="0" borderId="4" xfId="0" applyFont="true" applyBorder="true"/>
    <xf numFmtId="0" fontId="682" fillId="0" borderId="4" xfId="0" applyFont="true" applyBorder="true"/>
    <xf numFmtId="0" fontId="683" fillId="0" borderId="4" xfId="0" applyFont="true" applyBorder="true"/>
    <xf numFmtId="165" fontId="684" fillId="0" borderId="4" xfId="0" applyFont="true" applyBorder="true" applyNumberFormat="true"/>
    <xf numFmtId="165" fontId="685" fillId="0" borderId="4" xfId="0" applyFont="true" applyBorder="true" applyNumberFormat="true"/>
    <xf numFmtId="0" fontId="686" fillId="0" borderId="4" xfId="0" applyFont="true" applyBorder="true"/>
    <xf numFmtId="165" fontId="687" fillId="0" borderId="4" xfId="0" applyFont="true" applyBorder="true" applyNumberFormat="true"/>
    <xf numFmtId="165" fontId="688" fillId="0" borderId="4" xfId="0" applyFont="true" applyBorder="true" applyNumberFormat="true"/>
    <xf numFmtId="0" fontId="689" fillId="0" borderId="4" xfId="0" applyFont="true" applyBorder="true"/>
    <xf numFmtId="165" fontId="690" fillId="0" borderId="4" xfId="0" applyFont="true" applyBorder="true" applyNumberFormat="true"/>
    <xf numFmtId="165" fontId="691" fillId="0" borderId="4" xfId="0" applyFont="true" applyBorder="true" applyNumberFormat="true"/>
    <xf numFmtId="0" fontId="692" fillId="0" borderId="4" xfId="0" applyFont="true" applyBorder="true"/>
    <xf numFmtId="0" fontId="693" fillId="0" borderId="4" xfId="0" applyFont="true" applyBorder="true"/>
    <xf numFmtId="165" fontId="694" fillId="0" borderId="4" xfId="0" applyFont="true" applyBorder="true" applyNumberFormat="true"/>
    <xf numFmtId="165" fontId="695" fillId="0" borderId="4" xfId="0" applyFont="true" applyBorder="true" applyNumberFormat="true"/>
    <xf numFmtId="0" fontId="696" fillId="0" borderId="4" xfId="0" applyFont="true" applyBorder="true"/>
    <xf numFmtId="0" fontId="697" fillId="0" borderId="4" xfId="0" applyFont="true" applyBorder="true"/>
    <xf numFmtId="0" fontId="698" fillId="0" borderId="4" xfId="0" applyFont="true" applyBorder="true"/>
    <xf numFmtId="0" fontId="699" fillId="0" borderId="4" xfId="0" applyFont="true" applyBorder="true"/>
    <xf numFmtId="0" fontId="700" fillId="0" borderId="4" xfId="0" applyFont="true" applyBorder="true"/>
    <xf numFmtId="165" fontId="701" fillId="0" borderId="4" xfId="0" applyFont="true" applyBorder="true" applyNumberFormat="true"/>
    <xf numFmtId="165" fontId="702" fillId="0" borderId="4" xfId="0" applyFont="true" applyBorder="true" applyNumberFormat="true"/>
    <xf numFmtId="0" fontId="703" fillId="0" borderId="4" xfId="0" applyFont="true" applyBorder="true"/>
    <xf numFmtId="165" fontId="704" fillId="0" borderId="4" xfId="0" applyFont="true" applyBorder="true" applyNumberFormat="true"/>
    <xf numFmtId="165" fontId="705" fillId="0" borderId="4" xfId="0" applyFont="true" applyBorder="true" applyNumberFormat="true"/>
    <xf numFmtId="0" fontId="706" fillId="0" borderId="4" xfId="0" applyFont="true" applyBorder="true"/>
    <xf numFmtId="165" fontId="707" fillId="0" borderId="4" xfId="0" applyFont="true" applyBorder="true" applyNumberFormat="true"/>
    <xf numFmtId="165" fontId="708" fillId="0" borderId="4" xfId="0" applyFont="true" applyBorder="true" applyNumberFormat="true"/>
    <xf numFmtId="0" fontId="709" fillId="0" borderId="4" xfId="0" applyFont="true" applyBorder="true"/>
    <xf numFmtId="0" fontId="710" fillId="0" borderId="4" xfId="0" applyFont="true" applyBorder="true"/>
    <xf numFmtId="165" fontId="711" fillId="0" borderId="4" xfId="0" applyFont="true" applyBorder="true" applyNumberFormat="true"/>
    <xf numFmtId="165" fontId="712" fillId="0" borderId="4" xfId="0" applyFont="true" applyBorder="true" applyNumberFormat="true"/>
    <xf numFmtId="0" fontId="713" fillId="0" borderId="4" xfId="0" applyFont="true" applyBorder="true"/>
    <xf numFmtId="0" fontId="714" fillId="0" borderId="4" xfId="0" applyFont="true" applyBorder="true"/>
    <xf numFmtId="0" fontId="715" fillId="0" borderId="4" xfId="0" applyFont="true" applyBorder="true"/>
    <xf numFmtId="0" fontId="716" fillId="0" borderId="4" xfId="0" applyFont="true" applyBorder="true"/>
    <xf numFmtId="0" fontId="717" fillId="0" borderId="4" xfId="0" applyFont="true" applyBorder="true"/>
    <xf numFmtId="165" fontId="718" fillId="0" borderId="4" xfId="0" applyFont="true" applyBorder="true" applyNumberFormat="true"/>
    <xf numFmtId="165" fontId="719" fillId="0" borderId="4" xfId="0" applyFont="true" applyBorder="true" applyNumberFormat="true"/>
    <xf numFmtId="0" fontId="720" fillId="0" borderId="4" xfId="0" applyFont="true" applyBorder="true"/>
    <xf numFmtId="165" fontId="721" fillId="0" borderId="4" xfId="0" applyFont="true" applyBorder="true" applyNumberFormat="true"/>
    <xf numFmtId="165" fontId="722" fillId="0" borderId="4" xfId="0" applyFont="true" applyBorder="true" applyNumberFormat="true"/>
    <xf numFmtId="0" fontId="723" fillId="0" borderId="4" xfId="0" applyFont="true" applyBorder="true"/>
    <xf numFmtId="165" fontId="724" fillId="0" borderId="4" xfId="0" applyFont="true" applyBorder="true" applyNumberFormat="true"/>
    <xf numFmtId="165" fontId="725" fillId="0" borderId="4" xfId="0" applyFont="true" applyBorder="true" applyNumberFormat="true"/>
    <xf numFmtId="0" fontId="726" fillId="0" borderId="4" xfId="0" applyFont="true" applyBorder="true"/>
    <xf numFmtId="0" fontId="727" fillId="0" borderId="4" xfId="0" applyFont="true" applyBorder="true"/>
    <xf numFmtId="165" fontId="728" fillId="0" borderId="4" xfId="0" applyFont="true" applyBorder="true" applyNumberFormat="true"/>
    <xf numFmtId="165" fontId="729" fillId="0" borderId="4" xfId="0" applyFont="true" applyBorder="true" applyNumberFormat="true"/>
    <xf numFmtId="0" fontId="730" fillId="0" borderId="4" xfId="0" applyFont="true" applyBorder="true"/>
    <xf numFmtId="0" fontId="731" fillId="0" borderId="4" xfId="0" applyFont="true" applyBorder="true"/>
    <xf numFmtId="0" fontId="732" fillId="0" borderId="4" xfId="0" applyFont="true" applyBorder="true"/>
    <xf numFmtId="0" fontId="733" fillId="0" borderId="4" xfId="0" applyFont="true" applyBorder="true"/>
    <xf numFmtId="0" fontId="734" fillId="0" borderId="4" xfId="0" applyFont="true" applyBorder="true"/>
    <xf numFmtId="165" fontId="735" fillId="0" borderId="4" xfId="0" applyFont="true" applyBorder="true" applyNumberFormat="true"/>
    <xf numFmtId="165" fontId="736" fillId="0" borderId="4" xfId="0" applyFont="true" applyBorder="true" applyNumberFormat="true"/>
    <xf numFmtId="0" fontId="737" fillId="0" borderId="4" xfId="0" applyFont="true" applyBorder="true"/>
    <xf numFmtId="165" fontId="738" fillId="0" borderId="4" xfId="0" applyFont="true" applyBorder="true" applyNumberFormat="true"/>
    <xf numFmtId="165" fontId="739" fillId="0" borderId="4" xfId="0" applyFont="true" applyBorder="true" applyNumberFormat="true"/>
    <xf numFmtId="0" fontId="740" fillId="0" borderId="4" xfId="0" applyFont="true" applyBorder="true"/>
    <xf numFmtId="165" fontId="741" fillId="0" borderId="4" xfId="0" applyFont="true" applyBorder="true" applyNumberFormat="true"/>
    <xf numFmtId="165" fontId="742" fillId="0" borderId="4" xfId="0" applyFont="true" applyBorder="true" applyNumberFormat="true"/>
    <xf numFmtId="0" fontId="743" fillId="0" borderId="4" xfId="0" applyFont="true" applyBorder="true"/>
    <xf numFmtId="0" fontId="744" fillId="0" borderId="4" xfId="0" applyFont="true" applyBorder="true"/>
    <xf numFmtId="165" fontId="745" fillId="0" borderId="4" xfId="0" applyFont="true" applyBorder="true" applyNumberFormat="true"/>
    <xf numFmtId="165" fontId="746" fillId="0" borderId="4" xfId="0" applyFont="true" applyBorder="true" applyNumberFormat="true"/>
    <xf numFmtId="0" fontId="747" fillId="0" borderId="4" xfId="0" applyFont="true" applyBorder="true"/>
    <xf numFmtId="0" fontId="748" fillId="0" borderId="4" xfId="0" applyFont="true" applyBorder="true"/>
    <xf numFmtId="0" fontId="749" fillId="0" borderId="4" xfId="0" applyFont="true" applyBorder="true"/>
    <xf numFmtId="0" fontId="750" fillId="0" borderId="4" xfId="0" applyFont="true" applyBorder="true"/>
    <xf numFmtId="0" fontId="751" fillId="0" borderId="4" xfId="0" applyFont="true" applyBorder="true"/>
    <xf numFmtId="165" fontId="752" fillId="0" borderId="4" xfId="0" applyFont="true" applyBorder="true" applyNumberFormat="true"/>
    <xf numFmtId="165" fontId="753" fillId="0" borderId="4" xfId="0" applyFont="true" applyBorder="true" applyNumberFormat="true"/>
    <xf numFmtId="0" fontId="754" fillId="0" borderId="4" xfId="0" applyFont="true" applyBorder="true"/>
    <xf numFmtId="165" fontId="755" fillId="0" borderId="4" xfId="0" applyFont="true" applyBorder="true" applyNumberFormat="true"/>
    <xf numFmtId="165" fontId="756" fillId="0" borderId="4" xfId="0" applyFont="true" applyBorder="true" applyNumberFormat="true"/>
    <xf numFmtId="0" fontId="757" fillId="0" borderId="4" xfId="0" applyFont="true" applyBorder="true"/>
    <xf numFmtId="165" fontId="758" fillId="0" borderId="4" xfId="0" applyFont="true" applyBorder="true" applyNumberFormat="true"/>
    <xf numFmtId="165" fontId="759" fillId="0" borderId="4" xfId="0" applyFont="true" applyBorder="true" applyNumberFormat="true"/>
    <xf numFmtId="0" fontId="760" fillId="0" borderId="4" xfId="0" applyFont="true" applyBorder="true"/>
    <xf numFmtId="0" fontId="761" fillId="0" borderId="4" xfId="0" applyFont="true" applyBorder="true"/>
    <xf numFmtId="165" fontId="762" fillId="0" borderId="4" xfId="0" applyFont="true" applyBorder="true" applyNumberFormat="true"/>
    <xf numFmtId="165" fontId="763" fillId="0" borderId="4" xfId="0" applyFont="true" applyBorder="true" applyNumberFormat="true"/>
    <xf numFmtId="0" fontId="764" fillId="0" borderId="4" xfId="0" applyFont="true" applyBorder="true"/>
    <xf numFmtId="0" fontId="765" fillId="0" borderId="4" xfId="0" applyFont="true" applyBorder="true"/>
    <xf numFmtId="0" fontId="766" fillId="0" borderId="4" xfId="0" applyFont="true" applyBorder="true"/>
    <xf numFmtId="0" fontId="767" fillId="0" borderId="4" xfId="0" applyFont="true" applyBorder="true"/>
    <xf numFmtId="0" fontId="768" fillId="0" borderId="4" xfId="0" applyFont="true" applyBorder="true"/>
    <xf numFmtId="165" fontId="769" fillId="0" borderId="4" xfId="0" applyFont="true" applyBorder="true" applyNumberFormat="true"/>
    <xf numFmtId="165" fontId="770" fillId="0" borderId="4" xfId="0" applyFont="true" applyBorder="true" applyNumberFormat="true"/>
    <xf numFmtId="0" fontId="771" fillId="0" borderId="4" xfId="0" applyFont="true" applyBorder="true"/>
    <xf numFmtId="165" fontId="772" fillId="0" borderId="4" xfId="0" applyFont="true" applyBorder="true" applyNumberFormat="true"/>
    <xf numFmtId="165" fontId="773" fillId="0" borderId="4" xfId="0" applyFont="true" applyBorder="true" applyNumberFormat="true"/>
    <xf numFmtId="0" fontId="774" fillId="0" borderId="4" xfId="0" applyFont="true" applyBorder="true"/>
    <xf numFmtId="165" fontId="775" fillId="0" borderId="4" xfId="0" applyFont="true" applyBorder="true" applyNumberFormat="true"/>
    <xf numFmtId="165" fontId="776" fillId="0" borderId="4" xfId="0" applyFont="true" applyBorder="true" applyNumberFormat="true"/>
    <xf numFmtId="0" fontId="777" fillId="0" borderId="4" xfId="0" applyFont="true" applyBorder="true"/>
    <xf numFmtId="0" fontId="778" fillId="0" borderId="4" xfId="0" applyFont="true" applyBorder="true"/>
    <xf numFmtId="165" fontId="779" fillId="0" borderId="4" xfId="0" applyFont="true" applyBorder="true" applyNumberFormat="true"/>
    <xf numFmtId="165" fontId="780" fillId="0" borderId="4" xfId="0" applyFont="true" applyBorder="true" applyNumberFormat="true"/>
    <xf numFmtId="0" fontId="781" fillId="0" borderId="4" xfId="0" applyFont="true" applyBorder="true"/>
    <xf numFmtId="0" fontId="782" fillId="0" borderId="4" xfId="0" applyFont="true" applyBorder="true"/>
    <xf numFmtId="0" fontId="783" fillId="0" borderId="4" xfId="0" applyFont="true" applyBorder="true"/>
    <xf numFmtId="0" fontId="784" fillId="0" borderId="4" xfId="0" applyFont="true" applyBorder="true"/>
    <xf numFmtId="0" fontId="785" fillId="0" borderId="4" xfId="0" applyFont="true" applyBorder="true"/>
    <xf numFmtId="165" fontId="786" fillId="0" borderId="4" xfId="0" applyFont="true" applyBorder="true" applyNumberFormat="true"/>
    <xf numFmtId="165" fontId="787" fillId="0" borderId="4" xfId="0" applyFont="true" applyBorder="true" applyNumberFormat="true"/>
    <xf numFmtId="0" fontId="788" fillId="0" borderId="4" xfId="0" applyFont="true" applyBorder="true"/>
    <xf numFmtId="165" fontId="789" fillId="0" borderId="4" xfId="0" applyFont="true" applyBorder="true" applyNumberFormat="true"/>
    <xf numFmtId="165" fontId="790" fillId="0" borderId="4" xfId="0" applyFont="true" applyBorder="true" applyNumberFormat="true"/>
    <xf numFmtId="0" fontId="791" fillId="0" borderId="4" xfId="0" applyFont="true" applyBorder="true"/>
    <xf numFmtId="165" fontId="792" fillId="0" borderId="4" xfId="0" applyFont="true" applyBorder="true" applyNumberFormat="true"/>
    <xf numFmtId="165" fontId="793" fillId="0" borderId="4" xfId="0" applyFont="true" applyBorder="true" applyNumberFormat="true"/>
    <xf numFmtId="0" fontId="794" fillId="0" borderId="4" xfId="0" applyFont="true" applyBorder="true"/>
    <xf numFmtId="0" fontId="795" fillId="0" borderId="4" xfId="0" applyFont="true" applyBorder="true"/>
    <xf numFmtId="165" fontId="796" fillId="0" borderId="4" xfId="0" applyFont="true" applyBorder="true" applyNumberFormat="true"/>
    <xf numFmtId="165" fontId="797" fillId="0" borderId="4" xfId="0" applyFont="true" applyBorder="true" applyNumberFormat="true"/>
    <xf numFmtId="0" fontId="798" fillId="0" borderId="4" xfId="0" applyFont="true" applyBorder="true"/>
    <xf numFmtId="0" fontId="799" fillId="0" borderId="4" xfId="0" applyFont="true" applyBorder="true"/>
    <xf numFmtId="0" fontId="800" fillId="0" borderId="4" xfId="0" applyFont="true" applyBorder="true"/>
    <xf numFmtId="0" fontId="801" fillId="0" borderId="4" xfId="0" applyFont="true" applyBorder="true"/>
    <xf numFmtId="0" fontId="802" fillId="0" borderId="4" xfId="0" applyFont="true" applyBorder="true"/>
    <xf numFmtId="165" fontId="803" fillId="0" borderId="4" xfId="0" applyFont="true" applyBorder="true" applyNumberFormat="true"/>
    <xf numFmtId="165" fontId="804" fillId="0" borderId="4" xfId="0" applyFont="true" applyBorder="true" applyNumberFormat="true"/>
    <xf numFmtId="0" fontId="805" fillId="0" borderId="4" xfId="0" applyFont="true" applyBorder="true"/>
    <xf numFmtId="165" fontId="806" fillId="0" borderId="4" xfId="0" applyFont="true" applyBorder="true" applyNumberFormat="true"/>
    <xf numFmtId="165" fontId="807" fillId="0" borderId="4" xfId="0" applyFont="true" applyBorder="true" applyNumberFormat="true"/>
    <xf numFmtId="0" fontId="808" fillId="0" borderId="4" xfId="0" applyFont="true" applyBorder="true"/>
    <xf numFmtId="165" fontId="809" fillId="0" borderId="4" xfId="0" applyFont="true" applyBorder="true" applyNumberFormat="true"/>
    <xf numFmtId="165" fontId="810" fillId="0" borderId="4" xfId="0" applyFont="true" applyBorder="true" applyNumberFormat="true"/>
    <xf numFmtId="0" fontId="811" fillId="0" borderId="4" xfId="0" applyFont="true" applyBorder="true"/>
    <xf numFmtId="0" fontId="812" fillId="0" borderId="4" xfId="0" applyFont="true" applyBorder="true"/>
    <xf numFmtId="165" fontId="813" fillId="0" borderId="4" xfId="0" applyFont="true" applyBorder="true" applyNumberFormat="true"/>
    <xf numFmtId="165" fontId="814" fillId="0" borderId="4" xfId="0" applyFont="true" applyBorder="true" applyNumberFormat="true"/>
    <xf numFmtId="0" fontId="815" fillId="0" borderId="4" xfId="0" applyFont="true" applyBorder="true"/>
    <xf numFmtId="0" fontId="816" fillId="0" borderId="4" xfId="0" applyFont="true" applyBorder="true"/>
    <xf numFmtId="0" fontId="817" fillId="0" borderId="4" xfId="0" applyFont="true" applyBorder="true"/>
    <xf numFmtId="0" fontId="818" fillId="0" borderId="4" xfId="0" applyFont="true" applyBorder="true"/>
    <xf numFmtId="0" fontId="819" fillId="0" borderId="4" xfId="0" applyFont="true" applyBorder="true"/>
    <xf numFmtId="165" fontId="820" fillId="0" borderId="4" xfId="0" applyFont="true" applyBorder="true" applyNumberFormat="true"/>
    <xf numFmtId="165" fontId="821" fillId="0" borderId="4" xfId="0" applyFont="true" applyBorder="true" applyNumberFormat="true"/>
    <xf numFmtId="0" fontId="822" fillId="0" borderId="4" xfId="0" applyFont="true" applyBorder="true"/>
    <xf numFmtId="165" fontId="823" fillId="0" borderId="4" xfId="0" applyFont="true" applyBorder="true" applyNumberFormat="true"/>
    <xf numFmtId="165" fontId="824" fillId="0" borderId="4" xfId="0" applyFont="true" applyBorder="true" applyNumberFormat="true"/>
    <xf numFmtId="0" fontId="825" fillId="0" borderId="4" xfId="0" applyFont="true" applyBorder="true"/>
    <xf numFmtId="165" fontId="826" fillId="0" borderId="4" xfId="0" applyFont="true" applyBorder="true" applyNumberFormat="true"/>
    <xf numFmtId="165" fontId="827" fillId="0" borderId="4" xfId="0" applyFont="true" applyBorder="true" applyNumberFormat="true"/>
    <xf numFmtId="0" fontId="828" fillId="0" borderId="4" xfId="0" applyFont="true" applyBorder="true"/>
    <xf numFmtId="0" fontId="829" fillId="0" borderId="4" xfId="0" applyFont="true" applyBorder="true"/>
    <xf numFmtId="165" fontId="830" fillId="0" borderId="4" xfId="0" applyFont="true" applyBorder="true" applyNumberFormat="true"/>
    <xf numFmtId="165" fontId="831" fillId="0" borderId="4" xfId="0" applyFont="true" applyBorder="true" applyNumberFormat="true"/>
    <xf numFmtId="0" fontId="832" fillId="0" borderId="4" xfId="0" applyFont="true" applyBorder="true"/>
    <xf numFmtId="0" fontId="833" fillId="0" borderId="4" xfId="0" applyFont="true" applyBorder="true"/>
    <xf numFmtId="0" fontId="834" fillId="0" borderId="4" xfId="0" applyFont="true" applyBorder="true"/>
    <xf numFmtId="0" fontId="835" fillId="0" borderId="4" xfId="0" applyFont="true" applyBorder="true"/>
    <xf numFmtId="0" fontId="836" fillId="0" borderId="4" xfId="0" applyFont="true" applyBorder="true"/>
    <xf numFmtId="165" fontId="837" fillId="0" borderId="4" xfId="0" applyFont="true" applyBorder="true" applyNumberFormat="true"/>
    <xf numFmtId="165" fontId="838" fillId="0" borderId="4" xfId="0" applyFont="true" applyBorder="true" applyNumberFormat="true"/>
    <xf numFmtId="0" fontId="839" fillId="0" borderId="4" xfId="0" applyFont="true" applyBorder="true"/>
    <xf numFmtId="165" fontId="840" fillId="0" borderId="4" xfId="0" applyFont="true" applyBorder="true" applyNumberFormat="true"/>
    <xf numFmtId="165" fontId="841" fillId="0" borderId="4" xfId="0" applyFont="true" applyBorder="true" applyNumberFormat="true"/>
    <xf numFmtId="0" fontId="842" fillId="0" borderId="4" xfId="0" applyFont="true" applyBorder="true"/>
    <xf numFmtId="165" fontId="843" fillId="0" borderId="4" xfId="0" applyFont="true" applyBorder="true" applyNumberFormat="true"/>
    <xf numFmtId="165" fontId="844" fillId="0" borderId="4" xfId="0" applyFont="true" applyBorder="true" applyNumberFormat="true"/>
    <xf numFmtId="0" fontId="845" fillId="0" borderId="4" xfId="0" applyFont="true" applyBorder="true"/>
    <xf numFmtId="0" fontId="846" fillId="3" borderId="4" xfId="0" applyFont="true" applyAlignment="true" applyFill="true" applyBorder="true">
      <alignment horizontal="center"/>
    </xf>
    <xf numFmtId="0" fontId="847" fillId="0" borderId="0" xfId="0" applyFont="true" applyAlignment="true">
      <alignment horizontal="center"/>
    </xf>
    <xf numFmtId="0" fontId="848" fillId="0" borderId="0" xfId="0" applyFont="true" applyAlignment="true">
      <alignment horizontal="center"/>
    </xf>
    <xf numFmtId="0" fontId="849" fillId="0" borderId="0" xfId="0" applyFont="true" applyAlignment="true">
      <alignment horizontal="center"/>
    </xf>
    <xf numFmtId="0" fontId="850" fillId="3" borderId="4" xfId="0" applyFont="true" applyAlignment="true" applyFill="true" applyBorder="true">
      <alignment horizontal="center"/>
    </xf>
    <xf numFmtId="0" fontId="851" fillId="0" borderId="0" xfId="0" applyFont="true" applyAlignment="true">
      <alignment horizontal="center"/>
    </xf>
    <xf numFmtId="0" fontId="852" fillId="0" borderId="0" xfId="0" applyFont="true" applyAlignment="true">
      <alignment horizontal="center"/>
    </xf>
    <xf numFmtId="0" fontId="853" fillId="0" borderId="0" xfId="0" applyFont="true" applyAlignment="true">
      <alignment horizontal="center"/>
    </xf>
    <xf numFmtId="0" fontId="854" fillId="0" borderId="0" xfId="0" applyFont="true" applyAlignment="true">
      <alignment horizontal="center"/>
    </xf>
    <xf numFmtId="0" fontId="855" fillId="0" borderId="4" xfId="0" applyFont="true" applyBorder="true"/>
    <xf numFmtId="164" fontId="856" fillId="0" borderId="4" xfId="0" applyFont="true" applyBorder="true" applyNumberFormat="true"/>
    <xf numFmtId="164" fontId="857" fillId="0" borderId="4" xfId="0" applyFont="true" applyBorder="true" applyNumberFormat="true"/>
    <xf numFmtId="164" fontId="858" fillId="0" borderId="4" xfId="0" applyFont="true" applyBorder="true" applyNumberFormat="true"/>
    <xf numFmtId="164" fontId="859" fillId="0" borderId="4" xfId="0" applyFont="true" applyBorder="true" applyNumberFormat="true"/>
    <xf numFmtId="164" fontId="860" fillId="0" borderId="4" xfId="0" applyFont="true" applyBorder="true" applyNumberFormat="true"/>
    <xf numFmtId="164" fontId="861" fillId="0" borderId="4" xfId="0" applyFont="true" applyBorder="true" applyNumberFormat="true"/>
    <xf numFmtId="164" fontId="862" fillId="0" borderId="4" xfId="0" applyFont="true" applyBorder="true" applyNumberFormat="true"/>
    <xf numFmtId="164" fontId="863" fillId="0" borderId="4" xfId="0" applyFont="true" applyBorder="true" applyNumberFormat="true"/>
    <xf numFmtId="164" fontId="864" fillId="0" borderId="4" xfId="0" applyFont="true" applyBorder="true" applyNumberFormat="true"/>
    <xf numFmtId="164" fontId="865" fillId="0" borderId="4" xfId="0" applyFont="true" applyBorder="true" applyNumberFormat="true"/>
    <xf numFmtId="164" fontId="866" fillId="0" borderId="4" xfId="0" applyFont="true" applyBorder="true" applyNumberFormat="true"/>
    <xf numFmtId="164" fontId="867" fillId="0" borderId="4" xfId="0" applyFont="true" applyBorder="true" applyNumberFormat="true"/>
    <xf numFmtId="164" fontId="868" fillId="0" borderId="4" xfId="0" applyFont="true" applyBorder="true" applyNumberFormat="true"/>
    <xf numFmtId="164" fontId="869" fillId="0" borderId="4" xfId="0" applyFont="true" applyBorder="true" applyNumberFormat="true"/>
    <xf numFmtId="164" fontId="870" fillId="0" borderId="4" xfId="0" applyFont="true" applyBorder="true" applyNumberFormat="true"/>
    <xf numFmtId="164" fontId="871" fillId="0" borderId="4" xfId="0" applyFont="true" applyBorder="true" applyNumberFormat="true"/>
    <xf numFmtId="164" fontId="872" fillId="0" borderId="4" xfId="0" applyFont="true" applyBorder="true" applyNumberFormat="true"/>
    <xf numFmtId="164" fontId="873" fillId="0" borderId="4" xfId="0" applyFont="true" applyBorder="true" applyNumberFormat="true"/>
    <xf numFmtId="164" fontId="874" fillId="0" borderId="4" xfId="0" applyFont="true" applyBorder="true" applyNumberFormat="true"/>
    <xf numFmtId="164" fontId="875" fillId="0" borderId="4" xfId="0" applyFont="true" applyBorder="true" applyNumberFormat="true"/>
    <xf numFmtId="164" fontId="876" fillId="0" borderId="4" xfId="0" applyFont="true" applyBorder="true" applyNumberFormat="true"/>
    <xf numFmtId="164" fontId="877" fillId="0" borderId="4" xfId="0" applyFont="true" applyBorder="true" applyNumberFormat="true"/>
    <xf numFmtId="164" fontId="878" fillId="0" borderId="4" xfId="0" applyFont="true" applyBorder="true" applyNumberFormat="true"/>
    <xf numFmtId="164" fontId="879" fillId="0" borderId="4" xfId="0" applyFont="true" applyBorder="true" applyNumberFormat="true"/>
    <xf numFmtId="164" fontId="880" fillId="0" borderId="4" xfId="0" applyFont="true" applyBorder="true" applyNumberFormat="true"/>
    <xf numFmtId="164" fontId="881" fillId="0" borderId="4" xfId="0" applyFont="true" applyBorder="true" applyNumberFormat="true"/>
    <xf numFmtId="164" fontId="882" fillId="0" borderId="4" xfId="0" applyFont="true" applyBorder="true" applyNumberFormat="true"/>
    <xf numFmtId="164" fontId="883" fillId="0" borderId="4" xfId="0" applyFont="true" applyBorder="true" applyNumberFormat="true"/>
    <xf numFmtId="164" fontId="884" fillId="0" borderId="4" xfId="0" applyFont="true" applyBorder="true" applyNumberFormat="true"/>
    <xf numFmtId="164" fontId="885" fillId="0" borderId="4" xfId="0" applyFont="true" applyBorder="true" applyNumberFormat="true"/>
    <xf numFmtId="164" fontId="886" fillId="0" borderId="4" xfId="0" applyFont="true" applyBorder="true" applyNumberFormat="true"/>
    <xf numFmtId="164" fontId="887" fillId="0" borderId="4" xfId="0" applyFont="true" applyBorder="true" applyNumberFormat="true"/>
    <xf numFmtId="0" fontId="888" fillId="0" borderId="0" xfId="0" applyFont="true" applyAlignment="true">
      <alignment horizontal="center"/>
    </xf>
    <xf numFmtId="0" fontId="889" fillId="5" borderId="4" xfId="0" applyFont="true" applyAlignment="true" applyFill="true" applyBorder="true">
      <alignment horizontal="center"/>
    </xf>
    <xf numFmtId="0" fontId="890" fillId="0" borderId="0" xfId="0" applyFont="true" applyAlignment="true">
      <alignment horizontal="center"/>
    </xf>
    <xf numFmtId="0" fontId="891" fillId="0" borderId="0" xfId="0" applyFont="true" applyAlignment="true">
      <alignment horizontal="center"/>
    </xf>
    <xf numFmtId="0" fontId="892" fillId="5" borderId="4" xfId="0" applyFont="true" applyAlignment="true" applyFill="true" applyBorder="true">
      <alignment horizontal="center"/>
    </xf>
    <xf numFmtId="0" fontId="893" fillId="0" borderId="0" xfId="0" applyFont="true" applyAlignment="true">
      <alignment horizontal="center"/>
    </xf>
    <xf numFmtId="0" fontId="894" fillId="0" borderId="0" xfId="0" applyFont="true" applyAlignment="true">
      <alignment horizontal="center"/>
    </xf>
    <xf numFmtId="0" fontId="895" fillId="0" borderId="0" xfId="0" applyFont="true" applyAlignment="true">
      <alignment horizontal="center"/>
    </xf>
    <xf numFmtId="0" fontId="896" fillId="0" borderId="0" xfId="0" applyFont="true" applyAlignment="true">
      <alignment horizontal="center"/>
    </xf>
    <xf numFmtId="0" fontId="897" fillId="7" borderId="4" xfId="0" applyFont="true" applyAlignment="true" applyFill="true" applyBorder="true">
      <alignment horizontal="center"/>
    </xf>
    <xf numFmtId="0" fontId="898" fillId="9" borderId="4" xfId="0" applyFont="true" applyAlignment="true" applyFill="true" applyBorder="true">
      <alignment horizontal="center"/>
    </xf>
    <xf numFmtId="0" fontId="899" fillId="9" borderId="4" xfId="0" applyFont="true" applyAlignment="true" applyFill="true" applyBorder="true">
      <alignment horizontal="center"/>
    </xf>
    <xf numFmtId="0" fontId="900" fillId="11" borderId="4" xfId="0" applyFont="true" applyAlignment="true" applyFill="true" applyBorder="true">
      <alignment horizontal="center"/>
    </xf>
    <xf numFmtId="0" fontId="901" fillId="11" borderId="4" xfId="0" applyFont="true" applyAlignment="true" applyFill="true" applyBorder="true">
      <alignment horizontal="center"/>
    </xf>
    <xf numFmtId="0" fontId="902" fillId="11" borderId="4" xfId="0" applyFont="true" applyAlignment="true" applyFill="true" applyBorder="true">
      <alignment horizontal="center"/>
    </xf>
    <xf numFmtId="0" fontId="903" fillId="0" borderId="4" xfId="0" applyFont="true" applyBorder="true"/>
    <xf numFmtId="0" fontId="904" fillId="5" borderId="4" xfId="0" applyFont="true" applyAlignment="true" applyFill="true" applyBorder="true">
      <alignment horizontal="center"/>
    </xf>
    <xf numFmtId="0" fontId="905" fillId="13" borderId="4" xfId="0" applyFont="true" applyBorder="true" applyFill="true"/>
    <xf numFmtId="0" fontId="906" fillId="13" borderId="4" xfId="0" applyFont="true" applyBorder="true" applyFill="true"/>
    <xf numFmtId="0" fontId="907" fillId="5" borderId="4" xfId="0" applyFont="true" applyAlignment="true" applyFill="true" applyBorder="true">
      <alignment horizontal="center"/>
    </xf>
    <xf numFmtId="0" fontId="908" fillId="13" borderId="4" xfId="0" applyFont="true" applyBorder="true" applyFill="true"/>
    <xf numFmtId="0" fontId="909" fillId="13" borderId="4" xfId="0" applyFont="true" applyBorder="true" applyFill="true"/>
    <xf numFmtId="0" fontId="910" fillId="13" borderId="4" xfId="0" applyFont="true" applyBorder="true" applyFill="true"/>
    <xf numFmtId="0" fontId="911" fillId="13" borderId="4" xfId="0" applyFont="true" applyBorder="true" applyFill="true"/>
    <xf numFmtId="0" fontId="912" fillId="7" borderId="4" xfId="0" applyFont="true" applyAlignment="true" applyFill="true" applyBorder="true">
      <alignment horizontal="center"/>
    </xf>
    <xf numFmtId="0" fontId="913" fillId="0" borderId="4" xfId="0" applyFont="true" applyBorder="true"/>
    <xf numFmtId="0" fontId="914" fillId="0" borderId="4" xfId="0" applyFont="true" applyBorder="true"/>
    <xf numFmtId="0" fontId="915" fillId="11" borderId="4" xfId="0" applyFont="true" applyBorder="true" applyFill="true"/>
    <xf numFmtId="0" fontId="916" fillId="0" borderId="4" xfId="0" applyFont="true" applyBorder="true"/>
    <xf numFmtId="0" fontId="917" fillId="5" borderId="4" xfId="0" applyFont="true" applyAlignment="true" applyFill="true" applyBorder="true">
      <alignment horizontal="center"/>
    </xf>
    <xf numFmtId="0" fontId="918" fillId="13" borderId="4" xfId="0" applyFont="true" applyBorder="true" applyFill="true"/>
    <xf numFmtId="0" fontId="919" fillId="13" borderId="4" xfId="0" applyFont="true" applyBorder="true" applyFill="true"/>
    <xf numFmtId="0" fontId="920" fillId="5" borderId="4" xfId="0" applyFont="true" applyAlignment="true" applyFill="true" applyBorder="true">
      <alignment horizontal="center"/>
    </xf>
    <xf numFmtId="0" fontId="921" fillId="13" borderId="4" xfId="0" applyFont="true" applyBorder="true" applyFill="true"/>
    <xf numFmtId="0" fontId="922" fillId="13" borderId="4" xfId="0" applyFont="true" applyBorder="true" applyFill="true"/>
    <xf numFmtId="0" fontId="923" fillId="13" borderId="4" xfId="0" applyFont="true" applyBorder="true" applyFill="true"/>
    <xf numFmtId="0" fontId="924" fillId="13" borderId="4" xfId="0" applyFont="true" applyBorder="true" applyFill="true"/>
    <xf numFmtId="0" fontId="925" fillId="7" borderId="4" xfId="0" applyFont="true" applyAlignment="true" applyFill="true" applyBorder="true">
      <alignment horizontal="center"/>
    </xf>
    <xf numFmtId="0" fontId="926" fillId="0" borderId="4" xfId="0" applyFont="true" applyBorder="true"/>
    <xf numFmtId="0" fontId="927" fillId="0" borderId="4" xfId="0" applyFont="true" applyBorder="true"/>
    <xf numFmtId="0" fontId="928" fillId="11" borderId="4" xfId="0" applyFont="true" applyBorder="true" applyFill="true"/>
    <xf numFmtId="0" fontId="929" fillId="0" borderId="4" xfId="0" applyFont="true" applyBorder="true"/>
    <xf numFmtId="0" fontId="930" fillId="5" borderId="4" xfId="0" applyFont="true" applyAlignment="true" applyFill="true" applyBorder="true">
      <alignment horizontal="center"/>
    </xf>
    <xf numFmtId="0" fontId="931" fillId="13" borderId="4" xfId="0" applyFont="true" applyBorder="true" applyFill="true"/>
    <xf numFmtId="0" fontId="932" fillId="13" borderId="4" xfId="0" applyFont="true" applyBorder="true" applyFill="true"/>
    <xf numFmtId="0" fontId="933" fillId="5" borderId="4" xfId="0" applyFont="true" applyAlignment="true" applyFill="true" applyBorder="true">
      <alignment horizontal="center"/>
    </xf>
    <xf numFmtId="0" fontId="934" fillId="13" borderId="4" xfId="0" applyFont="true" applyBorder="true" applyFill="true"/>
    <xf numFmtId="0" fontId="935" fillId="13" borderId="4" xfId="0" applyFont="true" applyBorder="true" applyFill="true"/>
    <xf numFmtId="0" fontId="936" fillId="13" borderId="4" xfId="0" applyFont="true" applyBorder="true" applyFill="true"/>
    <xf numFmtId="0" fontId="937" fillId="13" borderId="4" xfId="0" applyFont="true" applyBorder="true" applyFill="true"/>
    <xf numFmtId="0" fontId="938" fillId="7" borderId="4" xfId="0" applyFont="true" applyAlignment="true" applyFill="true" applyBorder="true">
      <alignment horizontal="center"/>
    </xf>
    <xf numFmtId="0" fontId="939" fillId="0" borderId="4" xfId="0" applyFont="true" applyBorder="true"/>
    <xf numFmtId="0" fontId="940" fillId="0" borderId="4" xfId="0" applyFont="true" applyBorder="true"/>
    <xf numFmtId="0" fontId="941" fillId="11" borderId="4" xfId="0" applyFont="true" applyBorder="true" applyFill="true"/>
    <xf numFmtId="0" fontId="942" fillId="0" borderId="4" xfId="0" applyFont="true" applyBorder="true"/>
    <xf numFmtId="0" fontId="943" fillId="5" borderId="4" xfId="0" applyFont="true" applyAlignment="true" applyFill="true" applyBorder="true">
      <alignment horizontal="center"/>
    </xf>
    <xf numFmtId="0" fontId="944" fillId="13" borderId="4" xfId="0" applyFont="true" applyBorder="true" applyFill="true"/>
    <xf numFmtId="0" fontId="945" fillId="13" borderId="4" xfId="0" applyFont="true" applyBorder="true" applyFill="true"/>
    <xf numFmtId="0" fontId="946" fillId="5" borderId="4" xfId="0" applyFont="true" applyAlignment="true" applyFill="true" applyBorder="true">
      <alignment horizontal="center"/>
    </xf>
    <xf numFmtId="0" fontId="947" fillId="13" borderId="4" xfId="0" applyFont="true" applyBorder="true" applyFill="true"/>
    <xf numFmtId="0" fontId="948" fillId="13" borderId="4" xfId="0" applyFont="true" applyBorder="true" applyFill="true"/>
    <xf numFmtId="0" fontId="949" fillId="13" borderId="4" xfId="0" applyFont="true" applyBorder="true" applyFill="true"/>
    <xf numFmtId="0" fontId="950" fillId="13" borderId="4" xfId="0" applyFont="true" applyBorder="true" applyFill="true"/>
    <xf numFmtId="0" fontId="951" fillId="7" borderId="4" xfId="0" applyFont="true" applyAlignment="true" applyFill="true" applyBorder="true">
      <alignment horizontal="center"/>
    </xf>
    <xf numFmtId="0" fontId="952" fillId="0" borderId="4" xfId="0" applyFont="true" applyBorder="true"/>
    <xf numFmtId="0" fontId="953" fillId="0" borderId="4" xfId="0" applyFont="true" applyBorder="true"/>
    <xf numFmtId="0" fontId="954" fillId="11" borderId="4" xfId="0" applyFont="true" applyBorder="true" applyFill="true"/>
    <xf numFmtId="0" fontId="955" fillId="0" borderId="4" xfId="0" applyFont="true" applyBorder="true"/>
    <xf numFmtId="0" fontId="956" fillId="5" borderId="4" xfId="0" applyFont="true" applyAlignment="true" applyFill="true" applyBorder="true">
      <alignment horizontal="center"/>
    </xf>
    <xf numFmtId="0" fontId="957" fillId="13" borderId="4" xfId="0" applyFont="true" applyBorder="true" applyFill="true"/>
    <xf numFmtId="0" fontId="958" fillId="13" borderId="4" xfId="0" applyFont="true" applyBorder="true" applyFill="true"/>
    <xf numFmtId="0" fontId="959" fillId="5" borderId="4" xfId="0" applyFont="true" applyAlignment="true" applyFill="true" applyBorder="true">
      <alignment horizontal="center"/>
    </xf>
    <xf numFmtId="0" fontId="960" fillId="13" borderId="4" xfId="0" applyFont="true" applyBorder="true" applyFill="true"/>
    <xf numFmtId="0" fontId="961" fillId="13" borderId="4" xfId="0" applyFont="true" applyBorder="true" applyFill="true"/>
    <xf numFmtId="0" fontId="962" fillId="13" borderId="4" xfId="0" applyFont="true" applyBorder="true" applyFill="true"/>
    <xf numFmtId="0" fontId="963" fillId="13" borderId="4" xfId="0" applyFont="true" applyBorder="true" applyFill="true"/>
    <xf numFmtId="0" fontId="964" fillId="7" borderId="4" xfId="0" applyFont="true" applyAlignment="true" applyFill="true" applyBorder="true">
      <alignment horizontal="center"/>
    </xf>
    <xf numFmtId="0" fontId="965" fillId="0" borderId="4" xfId="0" applyFont="true" applyBorder="true"/>
    <xf numFmtId="0" fontId="966" fillId="0" borderId="4" xfId="0" applyFont="true" applyBorder="true"/>
    <xf numFmtId="0" fontId="967" fillId="11" borderId="4" xfId="0" applyFont="true" applyBorder="true" applyFill="true"/>
    <xf numFmtId="0" fontId="968" fillId="0" borderId="4" xfId="0" applyFont="true" applyBorder="true"/>
    <xf numFmtId="0" fontId="969" fillId="5" borderId="4" xfId="0" applyFont="true" applyAlignment="true" applyFill="true" applyBorder="true">
      <alignment horizontal="center"/>
    </xf>
    <xf numFmtId="0" fontId="970" fillId="13" borderId="4" xfId="0" applyFont="true" applyBorder="true" applyFill="true"/>
    <xf numFmtId="0" fontId="971" fillId="13" borderId="4" xfId="0" applyFont="true" applyBorder="true" applyFill="true"/>
    <xf numFmtId="0" fontId="972" fillId="5" borderId="4" xfId="0" applyFont="true" applyAlignment="true" applyFill="true" applyBorder="true">
      <alignment horizontal="center"/>
    </xf>
    <xf numFmtId="0" fontId="973" fillId="13" borderId="4" xfId="0" applyFont="true" applyBorder="true" applyFill="true"/>
    <xf numFmtId="0" fontId="974" fillId="13" borderId="4" xfId="0" applyFont="true" applyBorder="true" applyFill="true"/>
    <xf numFmtId="0" fontId="975" fillId="13" borderId="4" xfId="0" applyFont="true" applyBorder="true" applyFill="true"/>
    <xf numFmtId="0" fontId="976" fillId="13" borderId="4" xfId="0" applyFont="true" applyBorder="true" applyFill="true"/>
    <xf numFmtId="0" fontId="977" fillId="7" borderId="4" xfId="0" applyFont="true" applyAlignment="true" applyFill="true" applyBorder="true">
      <alignment horizontal="center"/>
    </xf>
    <xf numFmtId="0" fontId="978" fillId="0" borderId="4" xfId="0" applyFont="true" applyBorder="true"/>
    <xf numFmtId="0" fontId="979" fillId="0" borderId="4" xfId="0" applyFont="true" applyBorder="true"/>
    <xf numFmtId="0" fontId="980" fillId="11" borderId="4" xfId="0" applyFont="true" applyBorder="true" applyFill="true"/>
    <xf numFmtId="0" fontId="981" fillId="0" borderId="4" xfId="0" applyFont="true" applyBorder="true"/>
    <xf numFmtId="0" fontId="982" fillId="5" borderId="4" xfId="0" applyFont="true" applyAlignment="true" applyFill="true" applyBorder="true">
      <alignment horizontal="center"/>
    </xf>
    <xf numFmtId="0" fontId="983" fillId="13" borderId="4" xfId="0" applyFont="true" applyBorder="true" applyFill="true"/>
    <xf numFmtId="0" fontId="984" fillId="13" borderId="4" xfId="0" applyFont="true" applyBorder="true" applyFill="true"/>
    <xf numFmtId="0" fontId="985" fillId="5" borderId="4" xfId="0" applyFont="true" applyAlignment="true" applyFill="true" applyBorder="true">
      <alignment horizontal="center"/>
    </xf>
    <xf numFmtId="0" fontId="986" fillId="13" borderId="4" xfId="0" applyFont="true" applyBorder="true" applyFill="true"/>
    <xf numFmtId="0" fontId="987" fillId="13" borderId="4" xfId="0" applyFont="true" applyBorder="true" applyFill="true"/>
    <xf numFmtId="0" fontId="988" fillId="13" borderId="4" xfId="0" applyFont="true" applyBorder="true" applyFill="true"/>
    <xf numFmtId="0" fontId="989" fillId="13" borderId="4" xfId="0" applyFont="true" applyBorder="true" applyFill="true"/>
    <xf numFmtId="0" fontId="990" fillId="7" borderId="4" xfId="0" applyFont="true" applyAlignment="true" applyFill="true" applyBorder="true">
      <alignment horizontal="center"/>
    </xf>
    <xf numFmtId="0" fontId="991" fillId="0" borderId="4" xfId="0" applyFont="true" applyBorder="true"/>
    <xf numFmtId="0" fontId="992" fillId="0" borderId="4" xfId="0" applyFont="true" applyBorder="true"/>
    <xf numFmtId="0" fontId="993" fillId="11" borderId="4" xfId="0" applyFont="true" applyBorder="true" applyFill="true"/>
    <xf numFmtId="0" fontId="994" fillId="0" borderId="4" xfId="0" applyFont="true" applyBorder="true"/>
    <xf numFmtId="0" fontId="995" fillId="5" borderId="4" xfId="0" applyFont="true" applyAlignment="true" applyFill="true" applyBorder="true">
      <alignment horizontal="center"/>
    </xf>
    <xf numFmtId="0" fontId="996" fillId="13" borderId="4" xfId="0" applyFont="true" applyBorder="true" applyFill="true"/>
    <xf numFmtId="0" fontId="997" fillId="13" borderId="4" xfId="0" applyFont="true" applyBorder="true" applyFill="true"/>
    <xf numFmtId="0" fontId="998" fillId="5" borderId="4" xfId="0" applyFont="true" applyAlignment="true" applyFill="true" applyBorder="true">
      <alignment horizontal="center"/>
    </xf>
    <xf numFmtId="0" fontId="999" fillId="13" borderId="4" xfId="0" applyFont="true" applyBorder="true" applyFill="true"/>
    <xf numFmtId="0" fontId="1000" fillId="13" borderId="4" xfId="0" applyFont="true" applyBorder="true" applyFill="true"/>
    <xf numFmtId="0" fontId="1001" fillId="13" borderId="4" xfId="0" applyFont="true" applyBorder="true" applyFill="true"/>
    <xf numFmtId="0" fontId="1002" fillId="13" borderId="4" xfId="0" applyFont="true" applyBorder="true" applyFill="true"/>
    <xf numFmtId="0" fontId="1003" fillId="7" borderId="4" xfId="0" applyFont="true" applyAlignment="true" applyFill="true" applyBorder="true">
      <alignment horizontal="center"/>
    </xf>
    <xf numFmtId="0" fontId="1004" fillId="0" borderId="4" xfId="0" applyFont="true" applyBorder="true"/>
    <xf numFmtId="0" fontId="1005" fillId="0" borderId="4" xfId="0" applyFont="true" applyBorder="true"/>
    <xf numFmtId="0" fontId="1006" fillId="11" borderId="4" xfId="0" applyFont="true" applyBorder="true" applyFill="true"/>
    <xf numFmtId="0" fontId="1007" fillId="0" borderId="4" xfId="0" applyFont="true" applyBorder="true"/>
    <xf numFmtId="0" fontId="1008" fillId="5" borderId="4" xfId="0" applyFont="true" applyAlignment="true" applyFill="true" applyBorder="true">
      <alignment horizontal="center"/>
    </xf>
    <xf numFmtId="0" fontId="1009" fillId="13" borderId="4" xfId="0" applyFont="true" applyBorder="true" applyFill="true"/>
    <xf numFmtId="0" fontId="1010" fillId="13" borderId="4" xfId="0" applyFont="true" applyBorder="true" applyFill="true"/>
    <xf numFmtId="0" fontId="1011" fillId="5" borderId="4" xfId="0" applyFont="true" applyAlignment="true" applyFill="true" applyBorder="true">
      <alignment horizontal="center"/>
    </xf>
    <xf numFmtId="0" fontId="1012" fillId="13" borderId="4" xfId="0" applyFont="true" applyBorder="true" applyFill="true"/>
    <xf numFmtId="0" fontId="1013" fillId="13" borderId="4" xfId="0" applyFont="true" applyBorder="true" applyFill="true"/>
    <xf numFmtId="0" fontId="1014" fillId="13" borderId="4" xfId="0" applyFont="true" applyBorder="true" applyFill="true"/>
    <xf numFmtId="0" fontId="1015" fillId="13" borderId="4" xfId="0" applyFont="true" applyBorder="true" applyFill="true"/>
    <xf numFmtId="0" fontId="1016" fillId="7" borderId="4" xfId="0" applyFont="true" applyAlignment="true" applyFill="true" applyBorder="true">
      <alignment horizontal="center"/>
    </xf>
    <xf numFmtId="0" fontId="1017" fillId="0" borderId="4" xfId="0" applyFont="true" applyBorder="true"/>
    <xf numFmtId="0" fontId="1018" fillId="0" borderId="4" xfId="0" applyFont="true" applyBorder="true"/>
    <xf numFmtId="0" fontId="1019" fillId="11" borderId="4" xfId="0" applyFont="true" applyBorder="true" applyFill="true"/>
    <xf numFmtId="0" fontId="1020" fillId="0" borderId="4" xfId="0" applyFont="true" applyBorder="true"/>
    <xf numFmtId="0" fontId="1021" fillId="5" borderId="4" xfId="0" applyFont="true" applyAlignment="true" applyFill="true" applyBorder="true">
      <alignment horizontal="center"/>
    </xf>
    <xf numFmtId="0" fontId="1022" fillId="13" borderId="4" xfId="0" applyFont="true" applyBorder="true" applyFill="true"/>
    <xf numFmtId="0" fontId="1023" fillId="13" borderId="4" xfId="0" applyFont="true" applyBorder="true" applyFill="true"/>
    <xf numFmtId="0" fontId="1024" fillId="5" borderId="4" xfId="0" applyFont="true" applyAlignment="true" applyFill="true" applyBorder="true">
      <alignment horizontal="center"/>
    </xf>
    <xf numFmtId="0" fontId="1025" fillId="13" borderId="4" xfId="0" applyFont="true" applyBorder="true" applyFill="true"/>
    <xf numFmtId="0" fontId="1026" fillId="13" borderId="4" xfId="0" applyFont="true" applyBorder="true" applyFill="true"/>
    <xf numFmtId="0" fontId="1027" fillId="13" borderId="4" xfId="0" applyFont="true" applyBorder="true" applyFill="true"/>
    <xf numFmtId="0" fontId="1028" fillId="13" borderId="4" xfId="0" applyFont="true" applyBorder="true" applyFill="true"/>
    <xf numFmtId="0" fontId="1029" fillId="7" borderId="4" xfId="0" applyFont="true" applyAlignment="true" applyFill="true" applyBorder="true">
      <alignment horizontal="center"/>
    </xf>
    <xf numFmtId="0" fontId="1030" fillId="0" borderId="4" xfId="0" applyFont="true" applyBorder="true"/>
    <xf numFmtId="0" fontId="1031" fillId="0" borderId="4" xfId="0" applyFont="true" applyBorder="true"/>
    <xf numFmtId="0" fontId="1032" fillId="11" borderId="4" xfId="0" applyFont="true" applyBorder="true" applyFill="true"/>
    <xf numFmtId="0" fontId="1033" fillId="0" borderId="4" xfId="0" applyFont="true" applyBorder="true"/>
    <xf numFmtId="0" fontId="1034" fillId="5" borderId="4" xfId="0" applyFont="true" applyAlignment="true" applyFill="true" applyBorder="true">
      <alignment horizontal="center"/>
    </xf>
    <xf numFmtId="0" fontId="1035" fillId="13" borderId="4" xfId="0" applyFont="true" applyBorder="true" applyFill="true"/>
    <xf numFmtId="0" fontId="1036" fillId="13" borderId="4" xfId="0" applyFont="true" applyBorder="true" applyFill="true"/>
    <xf numFmtId="0" fontId="1037" fillId="5" borderId="4" xfId="0" applyFont="true" applyAlignment="true" applyFill="true" applyBorder="true">
      <alignment horizontal="center"/>
    </xf>
    <xf numFmtId="0" fontId="1038" fillId="13" borderId="4" xfId="0" applyFont="true" applyBorder="true" applyFill="true"/>
    <xf numFmtId="0" fontId="1039" fillId="13" borderId="4" xfId="0" applyFont="true" applyBorder="true" applyFill="true"/>
    <xf numFmtId="0" fontId="1040" fillId="13" borderId="4" xfId="0" applyFont="true" applyBorder="true" applyFill="true"/>
    <xf numFmtId="0" fontId="1041" fillId="13" borderId="4" xfId="0" applyFont="true" applyBorder="true" applyFill="true"/>
    <xf numFmtId="0" fontId="1042" fillId="7" borderId="4" xfId="0" applyFont="true" applyAlignment="true" applyFill="true" applyBorder="true">
      <alignment horizontal="center"/>
    </xf>
    <xf numFmtId="0" fontId="1043" fillId="0" borderId="4" xfId="0" applyFont="true" applyBorder="true"/>
    <xf numFmtId="0" fontId="1044" fillId="0" borderId="4" xfId="0" applyFont="true" applyBorder="true"/>
    <xf numFmtId="0" fontId="1045" fillId="11" borderId="4" xfId="0" applyFont="true" applyBorder="true" applyFill="true"/>
    <xf numFmtId="0" fontId="1046" fillId="0" borderId="4" xfId="0" applyFont="true" applyBorder="true"/>
    <xf numFmtId="0" fontId="1047" fillId="5" borderId="4" xfId="0" applyFont="true" applyAlignment="true" applyFill="true" applyBorder="true">
      <alignment horizontal="center"/>
    </xf>
    <xf numFmtId="0" fontId="1048" fillId="13" borderId="4" xfId="0" applyFont="true" applyBorder="true" applyFill="true"/>
    <xf numFmtId="0" fontId="1049" fillId="13" borderId="4" xfId="0" applyFont="true" applyBorder="true" applyFill="true"/>
    <xf numFmtId="0" fontId="1050" fillId="5" borderId="4" xfId="0" applyFont="true" applyAlignment="true" applyFill="true" applyBorder="true">
      <alignment horizontal="center"/>
    </xf>
    <xf numFmtId="0" fontId="1051" fillId="13" borderId="4" xfId="0" applyFont="true" applyBorder="true" applyFill="true"/>
    <xf numFmtId="0" fontId="1052" fillId="13" borderId="4" xfId="0" applyFont="true" applyBorder="true" applyFill="true"/>
    <xf numFmtId="0" fontId="1053" fillId="13" borderId="4" xfId="0" applyFont="true" applyBorder="true" applyFill="true"/>
    <xf numFmtId="0" fontId="1054" fillId="13" borderId="4" xfId="0" applyFont="true" applyBorder="true" applyFill="true"/>
    <xf numFmtId="0" fontId="1055" fillId="7" borderId="4" xfId="0" applyFont="true" applyAlignment="true" applyFill="true" applyBorder="true">
      <alignment horizontal="center"/>
    </xf>
    <xf numFmtId="0" fontId="1056" fillId="0" borderId="4" xfId="0" applyFont="true" applyBorder="true"/>
    <xf numFmtId="0" fontId="1057" fillId="0" borderId="4" xfId="0" applyFont="true" applyBorder="true"/>
    <xf numFmtId="0" fontId="1058" fillId="11" borderId="4" xfId="0" applyFont="true" applyBorder="true" applyFill="true"/>
    <xf numFmtId="0" fontId="1059" fillId="0" borderId="4" xfId="0" applyFont="true" applyBorder="true"/>
    <xf numFmtId="0" fontId="1060" fillId="5" borderId="4" xfId="0" applyFont="true" applyAlignment="true" applyFill="true" applyBorder="true">
      <alignment horizontal="center"/>
    </xf>
    <xf numFmtId="0" fontId="1061" fillId="13" borderId="4" xfId="0" applyFont="true" applyBorder="true" applyFill="true"/>
    <xf numFmtId="0" fontId="1062" fillId="13" borderId="4" xfId="0" applyFont="true" applyBorder="true" applyFill="true"/>
    <xf numFmtId="0" fontId="1063" fillId="5" borderId="4" xfId="0" applyFont="true" applyAlignment="true" applyFill="true" applyBorder="true">
      <alignment horizontal="center"/>
    </xf>
    <xf numFmtId="0" fontId="1064" fillId="13" borderId="4" xfId="0" applyFont="true" applyBorder="true" applyFill="true"/>
    <xf numFmtId="0" fontId="1065" fillId="13" borderId="4" xfId="0" applyFont="true" applyBorder="true" applyFill="true"/>
    <xf numFmtId="0" fontId="1066" fillId="13" borderId="4" xfId="0" applyFont="true" applyBorder="true" applyFill="true"/>
    <xf numFmtId="0" fontId="1067" fillId="13" borderId="4" xfId="0" applyFont="true" applyBorder="true" applyFill="true"/>
    <xf numFmtId="0" fontId="1068" fillId="7" borderId="4" xfId="0" applyFont="true" applyAlignment="true" applyFill="true" applyBorder="true">
      <alignment horizontal="center"/>
    </xf>
    <xf numFmtId="0" fontId="1069" fillId="0" borderId="4" xfId="0" applyFont="true" applyBorder="true"/>
    <xf numFmtId="0" fontId="1070" fillId="0" borderId="4" xfId="0" applyFont="true" applyBorder="true"/>
    <xf numFmtId="0" fontId="1071" fillId="11" borderId="4" xfId="0" applyFont="true" applyBorder="true" applyFill="true"/>
    <xf numFmtId="0" fontId="1072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5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5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>
  <dimension ref="A1:J15"/>
  <sheetViews>
    <sheetView workbookViewId="0" tabSelected="true">
      <pane ySplit="2.0" state="frozen" topLeftCell="A3" activePane="bottomLeft"/>
      <selection pane="bottomLeft"/>
    </sheetView>
  </sheetViews>
  <sheetFormatPr defaultRowHeight="15.0"/>
  <sheetData>
    <row r="1">
      <c r="C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</row>
    <row r="3" ht="30.0" customHeight="true">
      <c r="A3" t="n" s="3">
        <v>1.0</v>
      </c>
      <c r="B3" t="s" s="3">
        <v>11</v>
      </c>
      <c r="C3" t="s" s="3">
        <v>12</v>
      </c>
      <c r="D3" t="s" s="3">
        <v>13</v>
      </c>
      <c r="E3" t="s" s="3">
        <v>14</v>
      </c>
      <c r="F3" t="s" s="3">
        <v>15</v>
      </c>
      <c r="G3" t="s" s="4">
        <v>16</v>
      </c>
      <c r="H3" t="s" s="3">
        <v>17</v>
      </c>
      <c r="I3" t="s" s="3">
        <v>17</v>
      </c>
      <c r="J3" t="s" s="3">
        <v>18</v>
      </c>
    </row>
    <row r="4" ht="30.0" customHeight="true">
      <c r="A4" t="n" s="3">
        <v>2.0</v>
      </c>
      <c r="B4" t="s" s="3">
        <v>11</v>
      </c>
      <c r="C4" t="s" s="3">
        <v>19</v>
      </c>
      <c r="D4" t="s" s="3">
        <v>20</v>
      </c>
      <c r="E4" t="s" s="3">
        <v>21</v>
      </c>
      <c r="F4" t="s" s="3">
        <v>22</v>
      </c>
      <c r="G4" t="s" s="4">
        <v>23</v>
      </c>
      <c r="H4" t="s" s="3">
        <v>17</v>
      </c>
      <c r="I4" t="s" s="3">
        <v>17</v>
      </c>
      <c r="J4" t="s" s="3">
        <v>18</v>
      </c>
    </row>
    <row r="5" ht="30.0" customHeight="true">
      <c r="A5" t="n" s="3">
        <v>3.0</v>
      </c>
      <c r="B5" t="s" s="3">
        <v>11</v>
      </c>
      <c r="C5" t="s" s="3">
        <v>24</v>
      </c>
      <c r="D5" t="s" s="3">
        <v>25</v>
      </c>
      <c r="E5" t="s" s="3">
        <v>26</v>
      </c>
      <c r="F5" t="s" s="3">
        <v>27</v>
      </c>
      <c r="G5" t="s" s="4">
        <v>28</v>
      </c>
      <c r="H5" t="s" s="3">
        <v>17</v>
      </c>
      <c r="I5" t="s" s="3">
        <v>17</v>
      </c>
      <c r="J5" t="s" s="3">
        <v>18</v>
      </c>
    </row>
    <row r="6" ht="30.0" customHeight="true">
      <c r="A6" t="n" s="3">
        <v>4.0</v>
      </c>
      <c r="B6" t="s" s="3">
        <v>11</v>
      </c>
      <c r="C6" t="s" s="3">
        <v>29</v>
      </c>
      <c r="D6" t="s" s="3">
        <v>30</v>
      </c>
      <c r="E6" t="s" s="3">
        <v>31</v>
      </c>
      <c r="F6" t="s" s="3">
        <v>32</v>
      </c>
      <c r="G6" t="s" s="4">
        <v>23</v>
      </c>
      <c r="H6" t="s" s="3">
        <v>17</v>
      </c>
      <c r="I6" t="s" s="3">
        <v>17</v>
      </c>
      <c r="J6" t="s" s="3">
        <v>18</v>
      </c>
    </row>
    <row r="7" ht="30.0" customHeight="true">
      <c r="A7" t="n" s="3">
        <v>5.0</v>
      </c>
      <c r="B7" t="s" s="3">
        <v>11</v>
      </c>
      <c r="C7" t="s" s="3">
        <v>33</v>
      </c>
      <c r="D7" t="s" s="3">
        <v>34</v>
      </c>
      <c r="E7" t="s" s="3">
        <v>35</v>
      </c>
      <c r="F7" t="s" s="3">
        <v>36</v>
      </c>
      <c r="G7" t="s" s="4">
        <v>23</v>
      </c>
      <c r="H7" t="s" s="3">
        <v>17</v>
      </c>
      <c r="I7" t="s" s="3">
        <v>17</v>
      </c>
      <c r="J7" t="s" s="3">
        <v>18</v>
      </c>
    </row>
    <row r="8" ht="30.0" customHeight="true">
      <c r="A8" t="n" s="3">
        <v>6.0</v>
      </c>
      <c r="B8" t="s" s="3">
        <v>11</v>
      </c>
      <c r="C8" t="s" s="3">
        <v>37</v>
      </c>
      <c r="D8" t="s" s="3">
        <v>38</v>
      </c>
      <c r="E8" t="s" s="3">
        <v>39</v>
      </c>
      <c r="F8" t="s" s="3">
        <v>40</v>
      </c>
      <c r="G8" t="s" s="4">
        <v>41</v>
      </c>
      <c r="H8" t="s" s="3">
        <v>17</v>
      </c>
      <c r="I8" t="s" s="3">
        <v>17</v>
      </c>
      <c r="J8" t="s" s="3">
        <v>18</v>
      </c>
    </row>
    <row r="9" ht="30.0" customHeight="true">
      <c r="A9" t="n" s="3">
        <v>1.0</v>
      </c>
      <c r="B9" t="s" s="3">
        <v>42</v>
      </c>
      <c r="C9" t="s" s="3">
        <v>43</v>
      </c>
      <c r="D9" t="s" s="3">
        <v>44</v>
      </c>
      <c r="E9" t="s" s="3">
        <v>45</v>
      </c>
      <c r="F9" t="s" s="3">
        <v>46</v>
      </c>
      <c r="G9" t="s" s="4">
        <v>23</v>
      </c>
      <c r="H9" t="s" s="3">
        <v>17</v>
      </c>
      <c r="I9" t="s" s="3">
        <v>17</v>
      </c>
      <c r="J9" t="s" s="3">
        <v>18</v>
      </c>
    </row>
    <row r="10" ht="30.0" customHeight="true">
      <c r="A10" t="n" s="3">
        <v>2.0</v>
      </c>
      <c r="B10" t="s" s="3">
        <v>42</v>
      </c>
      <c r="C10" t="s" s="3">
        <v>47</v>
      </c>
      <c r="D10" t="s" s="3">
        <v>48</v>
      </c>
      <c r="E10" t="s" s="3">
        <v>49</v>
      </c>
      <c r="F10" t="s" s="3">
        <v>50</v>
      </c>
      <c r="G10" t="s" s="4">
        <v>51</v>
      </c>
      <c r="H10" t="s" s="3">
        <v>17</v>
      </c>
      <c r="I10" t="s" s="3">
        <v>17</v>
      </c>
      <c r="J10" t="s" s="3">
        <v>18</v>
      </c>
    </row>
    <row r="11" ht="30.0" customHeight="true">
      <c r="A11" t="n" s="3">
        <v>3.0</v>
      </c>
      <c r="B11" t="s" s="3">
        <v>42</v>
      </c>
      <c r="C11" t="s" s="3">
        <v>52</v>
      </c>
      <c r="D11" t="s" s="3">
        <v>53</v>
      </c>
      <c r="E11" t="s" s="3">
        <v>54</v>
      </c>
      <c r="F11" t="s" s="3">
        <v>55</v>
      </c>
      <c r="G11" t="s" s="4">
        <v>56</v>
      </c>
      <c r="H11" t="s" s="3">
        <v>17</v>
      </c>
      <c r="I11" t="s" s="3">
        <v>17</v>
      </c>
      <c r="J11" t="s" s="3">
        <v>18</v>
      </c>
    </row>
    <row r="12" ht="30.0" customHeight="true">
      <c r="A12" t="n" s="3">
        <v>4.0</v>
      </c>
      <c r="B12" t="s" s="3">
        <v>42</v>
      </c>
      <c r="C12" t="s" s="3">
        <v>57</v>
      </c>
      <c r="D12" t="s" s="3">
        <v>58</v>
      </c>
      <c r="E12" t="s" s="3">
        <v>59</v>
      </c>
      <c r="F12" t="s" s="3">
        <v>60</v>
      </c>
      <c r="G12" t="s" s="4">
        <v>23</v>
      </c>
      <c r="H12" t="s" s="3">
        <v>17</v>
      </c>
      <c r="I12" t="s" s="3">
        <v>17</v>
      </c>
      <c r="J12" t="s" s="3">
        <v>18</v>
      </c>
    </row>
    <row r="13" ht="30.0" customHeight="true">
      <c r="A13" t="n" s="3">
        <v>5.0</v>
      </c>
      <c r="B13" t="s" s="3">
        <v>42</v>
      </c>
      <c r="C13" t="s" s="3">
        <v>61</v>
      </c>
      <c r="D13" t="s" s="3">
        <v>62</v>
      </c>
      <c r="E13" t="s" s="3">
        <v>14</v>
      </c>
      <c r="F13" t="s" s="3">
        <v>63</v>
      </c>
      <c r="G13" t="s" s="4">
        <v>23</v>
      </c>
      <c r="H13" t="s" s="3">
        <v>17</v>
      </c>
      <c r="I13" t="s" s="3">
        <v>17</v>
      </c>
      <c r="J13" t="s" s="3">
        <v>18</v>
      </c>
    </row>
    <row r="14" ht="30.0" customHeight="true">
      <c r="A14" t="n" s="3">
        <v>1.0</v>
      </c>
      <c r="B14" t="s" s="3">
        <v>64</v>
      </c>
      <c r="C14" t="s" s="3">
        <v>61</v>
      </c>
      <c r="D14" t="s" s="3">
        <v>62</v>
      </c>
      <c r="E14" t="s" s="3">
        <v>14</v>
      </c>
      <c r="F14" t="s" s="3">
        <v>63</v>
      </c>
      <c r="G14" t="s" s="4">
        <v>23</v>
      </c>
      <c r="H14" t="s" s="3">
        <v>17</v>
      </c>
      <c r="I14" t="s" s="3">
        <v>17</v>
      </c>
      <c r="J14" t="s" s="3">
        <v>18</v>
      </c>
    </row>
    <row r="15" ht="30.0" customHeight="true">
      <c r="A15" t="n" s="3">
        <v>2.0</v>
      </c>
      <c r="B15" t="s" s="3">
        <v>64</v>
      </c>
      <c r="C15" t="s" s="3">
        <v>61</v>
      </c>
      <c r="D15" t="s" s="3">
        <v>62</v>
      </c>
      <c r="E15" t="s" s="3">
        <v>14</v>
      </c>
      <c r="F15" t="s" s="3">
        <v>63</v>
      </c>
      <c r="G15" t="s" s="4">
        <v>23</v>
      </c>
      <c r="H15" t="s" s="3">
        <v>17</v>
      </c>
      <c r="I15" t="s" s="3">
        <v>17</v>
      </c>
      <c r="J15" t="s" s="3">
        <v>18</v>
      </c>
    </row>
  </sheetData>
  <autoFilter ref="A2:J2"/>
  <dataValidations count="39">
    <dataValidation type="list" sqref="H3" allowBlank="true" errorStyle="stop" showDropDown="false">
      <formula1>"Так,Ні"</formula1>
    </dataValidation>
    <dataValidation type="list" sqref="I3" allowBlank="true" errorStyle="stop" showDropDown="false">
      <formula1>"Так,Ні"</formula1>
    </dataValidation>
    <dataValidation type="list" sqref="J3" allowBlank="true" errorStyle="stop" showDropDown="false">
      <formula1>"За кордоном,Україна"</formula1>
    </dataValidation>
    <dataValidation type="list" sqref="H4" allowBlank="true" errorStyle="stop" showDropDown="false">
      <formula1>"Так,Ні"</formula1>
    </dataValidation>
    <dataValidation type="list" sqref="I4" allowBlank="true" errorStyle="stop" showDropDown="false">
      <formula1>"Так,Ні"</formula1>
    </dataValidation>
    <dataValidation type="list" sqref="J4" allowBlank="true" errorStyle="stop" showDropDown="false">
      <formula1>"За кордоном,Україна"</formula1>
    </dataValidation>
    <dataValidation type="list" sqref="H5" allowBlank="true" errorStyle="stop" showDropDown="false">
      <formula1>"Так,Ні"</formula1>
    </dataValidation>
    <dataValidation type="list" sqref="I5" allowBlank="true" errorStyle="stop" showDropDown="false">
      <formula1>"Так,Ні"</formula1>
    </dataValidation>
    <dataValidation type="list" sqref="J5" allowBlank="true" errorStyle="stop" showDropDown="false">
      <formula1>"За кордоном,Україна"</formula1>
    </dataValidation>
    <dataValidation type="list" sqref="H6" allowBlank="true" errorStyle="stop" showDropDown="false">
      <formula1>"Так,Ні"</formula1>
    </dataValidation>
    <dataValidation type="list" sqref="I6" allowBlank="true" errorStyle="stop" showDropDown="false">
      <formula1>"Так,Ні"</formula1>
    </dataValidation>
    <dataValidation type="list" sqref="J6" allowBlank="true" errorStyle="stop" showDropDown="false">
      <formula1>"За кордоном,Україна"</formula1>
    </dataValidation>
    <dataValidation type="list" sqref="H7" allowBlank="true" errorStyle="stop" showDropDown="false">
      <formula1>"Так,Ні"</formula1>
    </dataValidation>
    <dataValidation type="list" sqref="I7" allowBlank="true" errorStyle="stop" showDropDown="false">
      <formula1>"Так,Ні"</formula1>
    </dataValidation>
    <dataValidation type="list" sqref="J7" allowBlank="true" errorStyle="stop" showDropDown="false">
      <formula1>"За кордоном,Україна"</formula1>
    </dataValidation>
    <dataValidation type="list" sqref="H8" allowBlank="true" errorStyle="stop" showDropDown="false">
      <formula1>"Так,Ні"</formula1>
    </dataValidation>
    <dataValidation type="list" sqref="I8" allowBlank="true" errorStyle="stop" showDropDown="false">
      <formula1>"Так,Ні"</formula1>
    </dataValidation>
    <dataValidation type="list" sqref="J8" allowBlank="true" errorStyle="stop" showDropDown="false">
      <formula1>"За кордоном,Україна"</formula1>
    </dataValidation>
    <dataValidation type="list" sqref="H9" allowBlank="true" errorStyle="stop" showDropDown="false">
      <formula1>"Так,Ні"</formula1>
    </dataValidation>
    <dataValidation type="list" sqref="I9" allowBlank="true" errorStyle="stop" showDropDown="false">
      <formula1>"Так,Ні"</formula1>
    </dataValidation>
    <dataValidation type="list" sqref="J9" allowBlank="true" errorStyle="stop" showDropDown="false">
      <formula1>"За кордоном,Україна"</formula1>
    </dataValidation>
    <dataValidation type="list" sqref="H10" allowBlank="true" errorStyle="stop" showDropDown="false">
      <formula1>"Так,Ні"</formula1>
    </dataValidation>
    <dataValidation type="list" sqref="I10" allowBlank="true" errorStyle="stop" showDropDown="false">
      <formula1>"Так,Ні"</formula1>
    </dataValidation>
    <dataValidation type="list" sqref="J10" allowBlank="true" errorStyle="stop" showDropDown="false">
      <formula1>"За кордоном,Україна"</formula1>
    </dataValidation>
    <dataValidation type="list" sqref="H11" allowBlank="true" errorStyle="stop" showDropDown="false">
      <formula1>"Так,Ні"</formula1>
    </dataValidation>
    <dataValidation type="list" sqref="I11" allowBlank="true" errorStyle="stop" showDropDown="false">
      <formula1>"Так,Ні"</formula1>
    </dataValidation>
    <dataValidation type="list" sqref="J11" allowBlank="true" errorStyle="stop" showDropDown="false">
      <formula1>"За кордоном,Україна"</formula1>
    </dataValidation>
    <dataValidation type="list" sqref="H12" allowBlank="true" errorStyle="stop" showDropDown="false">
      <formula1>"Так,Ні"</formula1>
    </dataValidation>
    <dataValidation type="list" sqref="I12" allowBlank="true" errorStyle="stop" showDropDown="false">
      <formula1>"Так,Ні"</formula1>
    </dataValidation>
    <dataValidation type="list" sqref="J12" allowBlank="true" errorStyle="stop" showDropDown="false">
      <formula1>"За кордоном,Україна"</formula1>
    </dataValidation>
    <dataValidation type="list" sqref="H13" allowBlank="true" errorStyle="stop" showDropDown="false">
      <formula1>"Так,Ні"</formula1>
    </dataValidation>
    <dataValidation type="list" sqref="I13" allowBlank="true" errorStyle="stop" showDropDown="false">
      <formula1>"Так,Ні"</formula1>
    </dataValidation>
    <dataValidation type="list" sqref="J13" allowBlank="true" errorStyle="stop" showDropDown="false">
      <formula1>"За кордоном,Україна"</formula1>
    </dataValidation>
    <dataValidation type="list" sqref="H14" allowBlank="true" errorStyle="stop" showDropDown="false">
      <formula1>"Так,Ні"</formula1>
    </dataValidation>
    <dataValidation type="list" sqref="I14" allowBlank="true" errorStyle="stop" showDropDown="false">
      <formula1>"Так,Ні"</formula1>
    </dataValidation>
    <dataValidation type="list" sqref="J14" allowBlank="true" errorStyle="stop" showDropDown="false">
      <formula1>"За кордоном,Україна"</formula1>
    </dataValidation>
    <dataValidation type="list" sqref="H15" allowBlank="true" errorStyle="stop" showDropDown="false">
      <formula1>"Так,Ні"</formula1>
    </dataValidation>
    <dataValidation type="list" sqref="I15" allowBlank="true" errorStyle="stop" showDropDown="false">
      <formula1>"Так,Ні"</formula1>
    </dataValidation>
    <dataValidation type="list" sqref="J15" allowBlank="true" errorStyle="stop" showDropDown="false">
      <formula1>"За кордоном,Україна"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U16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.12109375" customWidth="true" bestFit="true"/>
    <col min="2" max="2" width="2.12109375" customWidth="true" bestFit="true"/>
    <col min="3" max="3" width="13.6015625" customWidth="true" bestFit="true"/>
    <col min="4" max="4" width="14.78515625" customWidth="true" bestFit="true"/>
  </cols>
  <sheetData>
    <row r="1">
      <c r="C1" s="5">
        <f>Список!C1</f>
      </c>
      <c r="D1" t="s" s="6">
        <v>66</v>
      </c>
      <c r="E1" t="n" s="10">
        <v>1.0</v>
      </c>
      <c r="F1" t="n" s="13">
        <v>1.0</v>
      </c>
      <c r="G1" t="n" s="16">
        <v>2.0</v>
      </c>
      <c r="H1" t="n" s="19">
        <v>3.0</v>
      </c>
      <c r="I1" t="n" s="22">
        <v>4.0</v>
      </c>
      <c r="J1" t="n" s="25">
        <v>5.0</v>
      </c>
      <c r="K1" t="n" s="28">
        <v>6.0</v>
      </c>
      <c r="L1" t="n" s="31">
        <v>6.0</v>
      </c>
      <c r="M1" t="n" s="34">
        <v>7.0</v>
      </c>
      <c r="N1" t="n" s="37">
        <v>8.0</v>
      </c>
      <c r="O1" t="n" s="40">
        <v>9.0</v>
      </c>
      <c r="P1" t="n" s="43">
        <v>10.0</v>
      </c>
      <c r="Q1" t="n" s="46">
        <v>11.0</v>
      </c>
      <c r="R1" t="n" s="49">
        <v>11.0</v>
      </c>
      <c r="S1" t="n" s="52">
        <v>12.0</v>
      </c>
      <c r="T1" t="n" s="55">
        <v>13.0</v>
      </c>
    </row>
    <row r="2">
      <c r="D2" t="s" s="7">
        <v>67</v>
      </c>
      <c r="E2" t="n" s="9">
        <v>1.0</v>
      </c>
      <c r="F2" t="n" s="12">
        <v>2.0</v>
      </c>
      <c r="G2" t="n" s="15">
        <v>3.0</v>
      </c>
      <c r="H2" t="n" s="18">
        <v>4.0</v>
      </c>
      <c r="I2" t="n" s="21">
        <v>5.0</v>
      </c>
      <c r="J2" t="n" s="24">
        <v>6.0</v>
      </c>
      <c r="K2" t="n" s="27">
        <v>7.0</v>
      </c>
      <c r="L2" t="n" s="30">
        <v>8.0</v>
      </c>
      <c r="M2" t="n" s="33">
        <v>9.0</v>
      </c>
      <c r="N2" t="n" s="36">
        <v>10.0</v>
      </c>
      <c r="O2" t="n" s="39">
        <v>11.0</v>
      </c>
      <c r="P2" t="n" s="42">
        <v>12.0</v>
      </c>
      <c r="Q2" t="n" s="45">
        <v>13.0</v>
      </c>
      <c r="R2" t="n" s="48">
        <v>14.0</v>
      </c>
      <c r="S2" t="n" s="51">
        <v>15.0</v>
      </c>
      <c r="T2" t="n" s="54">
        <v>16.0</v>
      </c>
    </row>
    <row r="3">
      <c r="A3" s="5">
        <f>Список!A2</f>
      </c>
      <c r="B3" s="5">
        <f>Список!B2</f>
      </c>
      <c r="C3" t="s" s="5">
        <v>65</v>
      </c>
      <c r="D3" s="5">
        <f>Список!I2</f>
      </c>
      <c r="E3" t="n" s="8">
        <v>45537.0</v>
      </c>
      <c r="F3" t="n" s="11">
        <v>45542.0</v>
      </c>
      <c r="G3" t="n" s="14">
        <v>45544.0</v>
      </c>
      <c r="H3" t="n" s="17">
        <v>45551.0</v>
      </c>
      <c r="I3" t="n" s="20">
        <v>45558.0</v>
      </c>
      <c r="J3" t="n" s="23">
        <v>45565.0</v>
      </c>
      <c r="K3" t="n" s="26">
        <v>45572.0</v>
      </c>
      <c r="L3" t="n" s="29">
        <v>45577.0</v>
      </c>
      <c r="M3" t="n" s="32">
        <v>45579.0</v>
      </c>
      <c r="N3" t="n" s="35">
        <v>45586.0</v>
      </c>
      <c r="O3" t="n" s="38">
        <v>45593.0</v>
      </c>
      <c r="P3" t="n" s="41">
        <v>45600.0</v>
      </c>
      <c r="Q3" t="n" s="44">
        <v>45607.0</v>
      </c>
      <c r="R3" t="n" s="47">
        <v>45612.0</v>
      </c>
      <c r="S3" t="n" s="50">
        <v>45614.0</v>
      </c>
      <c r="T3" t="n" s="53">
        <v>45621.0</v>
      </c>
      <c r="U3" t="s" s="56">
        <v>68</v>
      </c>
    </row>
    <row r="4">
      <c r="A4" s="57">
        <f>Список!A3</f>
      </c>
      <c r="B4" s="57">
        <f>Список!B3</f>
      </c>
      <c r="C4" s="57">
        <f>Список!C3&amp;" "&amp;LEFT(Список!D3,1)&amp;"."&amp;LEFT(Список!E3,1)&amp;"."</f>
      </c>
      <c r="D4" s="57">
        <f>Список!I3</f>
      </c>
      <c r="E4" s="58"/>
      <c r="F4" s="59"/>
      <c r="G4" s="60"/>
      <c r="H4" s="61"/>
      <c r="I4" s="62"/>
      <c r="J4" s="63"/>
      <c r="K4" s="64"/>
      <c r="L4" s="65"/>
      <c r="M4" s="66"/>
      <c r="N4" s="67"/>
      <c r="O4" s="68"/>
      <c r="P4" s="69"/>
      <c r="Q4" s="70"/>
      <c r="R4" s="71"/>
      <c r="S4" s="72"/>
      <c r="T4" s="73"/>
      <c r="U4" t="n" s="74">
        <f>SUM(E4:T4)</f>
        <v>0.0</v>
      </c>
    </row>
    <row r="5">
      <c r="A5" s="57">
        <f>Список!A4</f>
      </c>
      <c r="B5" s="57">
        <f>Список!B4</f>
      </c>
      <c r="C5" s="57">
        <f>Список!C4&amp;" "&amp;LEFT(Список!D4,1)&amp;"."&amp;LEFT(Список!E4,1)&amp;"."</f>
      </c>
      <c r="D5" s="57">
        <f>Список!I4</f>
      </c>
      <c r="E5" s="75"/>
      <c r="F5" s="76"/>
      <c r="G5" s="77"/>
      <c r="H5" s="78"/>
      <c r="I5" s="79"/>
      <c r="J5" s="80"/>
      <c r="K5" s="81"/>
      <c r="L5" s="82"/>
      <c r="M5" s="83"/>
      <c r="N5" s="84"/>
      <c r="O5" s="85"/>
      <c r="P5" s="86"/>
      <c r="Q5" s="87"/>
      <c r="R5" s="88"/>
      <c r="S5" s="89"/>
      <c r="T5" s="90"/>
      <c r="U5" t="n" s="91">
        <f>SUM(E5:T5)</f>
        <v>0.0</v>
      </c>
    </row>
    <row r="6">
      <c r="A6" s="57">
        <f>Список!A5</f>
      </c>
      <c r="B6" s="57">
        <f>Список!B5</f>
      </c>
      <c r="C6" s="57">
        <f>Список!C5&amp;" "&amp;LEFT(Список!D5,1)&amp;"."&amp;LEFT(Список!E5,1)&amp;"."</f>
      </c>
      <c r="D6" s="57">
        <f>Список!I5</f>
      </c>
      <c r="E6" s="92"/>
      <c r="F6" s="93"/>
      <c r="G6" s="94"/>
      <c r="H6" s="95"/>
      <c r="I6" s="96"/>
      <c r="J6" s="97"/>
      <c r="K6" s="98"/>
      <c r="L6" s="99"/>
      <c r="M6" s="100"/>
      <c r="N6" s="101"/>
      <c r="O6" s="102"/>
      <c r="P6" s="103"/>
      <c r="Q6" s="104"/>
      <c r="R6" s="105"/>
      <c r="S6" s="106"/>
      <c r="T6" s="107"/>
      <c r="U6" t="n" s="108">
        <f>SUM(E6:T6)</f>
        <v>0.0</v>
      </c>
    </row>
    <row r="7">
      <c r="A7" s="57">
        <f>Список!A6</f>
      </c>
      <c r="B7" s="57">
        <f>Список!B6</f>
      </c>
      <c r="C7" s="57">
        <f>Список!C6&amp;" "&amp;LEFT(Список!D6,1)&amp;"."&amp;LEFT(Список!E6,1)&amp;"."</f>
      </c>
      <c r="D7" s="57">
        <f>Список!I6</f>
      </c>
      <c r="E7" s="109"/>
      <c r="F7" s="110"/>
      <c r="G7" s="111"/>
      <c r="H7" s="112"/>
      <c r="I7" s="113"/>
      <c r="J7" s="114"/>
      <c r="K7" s="115"/>
      <c r="L7" s="116"/>
      <c r="M7" s="117"/>
      <c r="N7" s="118"/>
      <c r="O7" s="119"/>
      <c r="P7" s="120"/>
      <c r="Q7" s="121"/>
      <c r="R7" s="122"/>
      <c r="S7" s="123"/>
      <c r="T7" s="124"/>
      <c r="U7" t="n" s="125">
        <f>SUM(E7:T7)</f>
        <v>0.0</v>
      </c>
    </row>
    <row r="8">
      <c r="A8" s="57">
        <f>Список!A7</f>
      </c>
      <c r="B8" s="57">
        <f>Список!B7</f>
      </c>
      <c r="C8" s="57">
        <f>Список!C7&amp;" "&amp;LEFT(Список!D7,1)&amp;"."&amp;LEFT(Список!E7,1)&amp;"."</f>
      </c>
      <c r="D8" s="57">
        <f>Список!I7</f>
      </c>
      <c r="E8" s="126"/>
      <c r="F8" s="127"/>
      <c r="G8" s="128"/>
      <c r="H8" s="129"/>
      <c r="I8" s="130"/>
      <c r="J8" s="131"/>
      <c r="K8" s="132"/>
      <c r="L8" s="133"/>
      <c r="M8" s="134"/>
      <c r="N8" s="135"/>
      <c r="O8" s="136"/>
      <c r="P8" s="137"/>
      <c r="Q8" s="138"/>
      <c r="R8" s="139"/>
      <c r="S8" s="140"/>
      <c r="T8" s="141"/>
      <c r="U8" t="n" s="142">
        <f>SUM(E8:T8)</f>
        <v>0.0</v>
      </c>
    </row>
    <row r="9">
      <c r="A9" s="57">
        <f>Список!A8</f>
      </c>
      <c r="B9" s="57">
        <f>Список!B8</f>
      </c>
      <c r="C9" s="57">
        <f>Список!C8&amp;" "&amp;LEFT(Список!D8,1)&amp;"."&amp;LEFT(Список!E8,1)&amp;"."</f>
      </c>
      <c r="D9" s="57">
        <f>Список!I8</f>
      </c>
      <c r="E9" s="143"/>
      <c r="F9" s="144"/>
      <c r="G9" s="145"/>
      <c r="H9" s="146"/>
      <c r="I9" s="147"/>
      <c r="J9" s="148"/>
      <c r="K9" s="149"/>
      <c r="L9" s="150"/>
      <c r="M9" s="151"/>
      <c r="N9" s="152"/>
      <c r="O9" s="153"/>
      <c r="P9" s="154"/>
      <c r="Q9" s="155"/>
      <c r="R9" s="156"/>
      <c r="S9" s="157"/>
      <c r="T9" s="158"/>
      <c r="U9" t="n" s="159">
        <f>SUM(E9:T9)</f>
        <v>0.0</v>
      </c>
    </row>
    <row r="10">
      <c r="A10" s="57">
        <f>Список!A9</f>
      </c>
      <c r="B10" s="57">
        <f>Список!B9</f>
      </c>
      <c r="C10" s="57">
        <f>Список!C9&amp;" "&amp;LEFT(Список!D9,1)&amp;"."&amp;LEFT(Список!E9,1)&amp;"."</f>
      </c>
      <c r="D10" s="57">
        <f>Список!I9</f>
      </c>
      <c r="E10" s="160"/>
      <c r="F10" s="161"/>
      <c r="G10" s="162"/>
      <c r="H10" s="163"/>
      <c r="I10" s="164"/>
      <c r="J10" s="165"/>
      <c r="K10" s="166"/>
      <c r="L10" s="167"/>
      <c r="M10" s="168"/>
      <c r="N10" s="169"/>
      <c r="O10" s="170"/>
      <c r="P10" s="171"/>
      <c r="Q10" s="172"/>
      <c r="R10" s="173"/>
      <c r="S10" s="174"/>
      <c r="T10" s="175"/>
      <c r="U10" t="n" s="176">
        <f>SUM(E10:T10)</f>
        <v>0.0</v>
      </c>
    </row>
    <row r="11">
      <c r="A11" s="57">
        <f>Список!A10</f>
      </c>
      <c r="B11" s="57">
        <f>Список!B10</f>
      </c>
      <c r="C11" s="57">
        <f>Список!C10&amp;" "&amp;LEFT(Список!D10,1)&amp;"."&amp;LEFT(Список!E10,1)&amp;"."</f>
      </c>
      <c r="D11" s="57">
        <f>Список!I10</f>
      </c>
      <c r="E11" s="177"/>
      <c r="F11" s="178"/>
      <c r="G11" s="179"/>
      <c r="H11" s="180"/>
      <c r="I11" s="181"/>
      <c r="J11" s="182"/>
      <c r="K11" s="183"/>
      <c r="L11" s="184"/>
      <c r="M11" s="185"/>
      <c r="N11" s="186"/>
      <c r="O11" s="187"/>
      <c r="P11" s="188"/>
      <c r="Q11" s="189"/>
      <c r="R11" s="190"/>
      <c r="S11" s="191"/>
      <c r="T11" s="192"/>
      <c r="U11" t="n" s="193">
        <f>SUM(E11:T11)</f>
        <v>0.0</v>
      </c>
    </row>
    <row r="12">
      <c r="A12" s="57">
        <f>Список!A11</f>
      </c>
      <c r="B12" s="57">
        <f>Список!B11</f>
      </c>
      <c r="C12" s="57">
        <f>Список!C11&amp;" "&amp;LEFT(Список!D11,1)&amp;"."&amp;LEFT(Список!E11,1)&amp;"."</f>
      </c>
      <c r="D12" s="57">
        <f>Список!I11</f>
      </c>
      <c r="E12" s="194"/>
      <c r="F12" s="195"/>
      <c r="G12" s="196"/>
      <c r="H12" s="197"/>
      <c r="I12" s="198"/>
      <c r="J12" s="199"/>
      <c r="K12" s="200"/>
      <c r="L12" s="201"/>
      <c r="M12" s="202"/>
      <c r="N12" s="203"/>
      <c r="O12" s="204"/>
      <c r="P12" s="205"/>
      <c r="Q12" s="206"/>
      <c r="R12" s="207"/>
      <c r="S12" s="208"/>
      <c r="T12" s="209"/>
      <c r="U12" t="n" s="210">
        <f>SUM(E12:T12)</f>
        <v>0.0</v>
      </c>
    </row>
    <row r="13">
      <c r="A13" s="57">
        <f>Список!A12</f>
      </c>
      <c r="B13" s="57">
        <f>Список!B12</f>
      </c>
      <c r="C13" s="57">
        <f>Список!C12&amp;" "&amp;LEFT(Список!D12,1)&amp;"."&amp;LEFT(Список!E12,1)&amp;"."</f>
      </c>
      <c r="D13" s="57">
        <f>Список!I12</f>
      </c>
      <c r="E13" s="211"/>
      <c r="F13" s="212"/>
      <c r="G13" s="213"/>
      <c r="H13" s="214"/>
      <c r="I13" s="215"/>
      <c r="J13" s="216"/>
      <c r="K13" s="217"/>
      <c r="L13" s="218"/>
      <c r="M13" s="219"/>
      <c r="N13" s="220"/>
      <c r="O13" s="221"/>
      <c r="P13" s="222"/>
      <c r="Q13" s="223"/>
      <c r="R13" s="224"/>
      <c r="S13" s="225"/>
      <c r="T13" s="226"/>
      <c r="U13" t="n" s="227">
        <f>SUM(E13:T13)</f>
        <v>0.0</v>
      </c>
    </row>
    <row r="14">
      <c r="A14" s="57">
        <f>Список!A13</f>
      </c>
      <c r="B14" s="57">
        <f>Список!B13</f>
      </c>
      <c r="C14" s="57">
        <f>Список!C13&amp;" "&amp;LEFT(Список!D13,1)&amp;"."&amp;LEFT(Список!E13,1)&amp;"."</f>
      </c>
      <c r="D14" s="57">
        <f>Список!I13</f>
      </c>
      <c r="E14" s="228"/>
      <c r="F14" s="229"/>
      <c r="G14" s="230"/>
      <c r="H14" s="231"/>
      <c r="I14" s="232"/>
      <c r="J14" s="233"/>
      <c r="K14" s="234"/>
      <c r="L14" s="235"/>
      <c r="M14" s="236"/>
      <c r="N14" s="237"/>
      <c r="O14" s="238"/>
      <c r="P14" s="239"/>
      <c r="Q14" s="240"/>
      <c r="R14" s="241"/>
      <c r="S14" s="242"/>
      <c r="T14" s="243"/>
      <c r="U14" t="n" s="244">
        <f>SUM(E14:T14)</f>
        <v>0.0</v>
      </c>
    </row>
    <row r="15">
      <c r="A15" s="57">
        <f>Список!A14</f>
      </c>
      <c r="B15" s="57">
        <f>Список!B14</f>
      </c>
      <c r="C15" s="57">
        <f>Список!C14&amp;" "&amp;LEFT(Список!D14,1)&amp;"."&amp;LEFT(Список!E14,1)&amp;"."</f>
      </c>
      <c r="D15" s="57">
        <f>Список!I14</f>
      </c>
      <c r="E15" s="245"/>
      <c r="F15" s="246"/>
      <c r="G15" s="247"/>
      <c r="H15" s="248"/>
      <c r="I15" s="249"/>
      <c r="J15" s="250"/>
      <c r="K15" s="251"/>
      <c r="L15" s="252"/>
      <c r="M15" s="253"/>
      <c r="N15" s="254"/>
      <c r="O15" s="255"/>
      <c r="P15" s="256"/>
      <c r="Q15" s="257"/>
      <c r="R15" s="258"/>
      <c r="S15" s="259"/>
      <c r="T15" s="260"/>
      <c r="U15" t="n" s="261">
        <f>SUM(E15:T15)</f>
        <v>0.0</v>
      </c>
    </row>
    <row r="16">
      <c r="A16" s="57">
        <f>Список!A15</f>
      </c>
      <c r="B16" s="57">
        <f>Список!B15</f>
      </c>
      <c r="C16" s="57">
        <f>Список!C15&amp;" "&amp;LEFT(Список!D15,1)&amp;"."&amp;LEFT(Список!E15,1)&amp;"."</f>
      </c>
      <c r="D16" s="57">
        <f>Список!I15</f>
      </c>
      <c r="E16" s="262"/>
      <c r="F16" s="263"/>
      <c r="G16" s="264"/>
      <c r="H16" s="265"/>
      <c r="I16" s="266"/>
      <c r="J16" s="267"/>
      <c r="K16" s="268"/>
      <c r="L16" s="269"/>
      <c r="M16" s="270"/>
      <c r="N16" s="271"/>
      <c r="O16" s="272"/>
      <c r="P16" s="273"/>
      <c r="Q16" s="274"/>
      <c r="R16" s="275"/>
      <c r="S16" s="276"/>
      <c r="T16" s="277"/>
      <c r="U16" t="n" s="278">
        <f>SUM(E16:T16)</f>
        <v>0.0</v>
      </c>
    </row>
  </sheetData>
  <autoFilter ref="A3:D3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U14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.12109375" customWidth="true" bestFit="true"/>
    <col min="2" max="2" width="2.12109375" customWidth="true" bestFit="true"/>
    <col min="3" max="3" width="13.6015625" customWidth="true" bestFit="true"/>
    <col min="4" max="4" width="14.78515625" customWidth="true" bestFit="true"/>
  </cols>
  <sheetData>
    <row r="1">
      <c r="C1" s="279">
        <f>Список!C1</f>
      </c>
      <c r="D1" t="s" s="280">
        <v>66</v>
      </c>
      <c r="E1" t="n" s="284">
        <v>1.0</v>
      </c>
      <c r="F1" t="n" s="287">
        <v>2.0</v>
      </c>
      <c r="G1" t="n" s="290">
        <v>3.0</v>
      </c>
      <c r="H1" t="n" s="293">
        <v>3.0</v>
      </c>
      <c r="I1" t="n" s="296">
        <v>4.0</v>
      </c>
      <c r="J1" t="n" s="299">
        <v>5.0</v>
      </c>
      <c r="K1" t="n" s="302">
        <v>6.0</v>
      </c>
      <c r="L1" t="n" s="305">
        <v>7.0</v>
      </c>
      <c r="M1" t="n" s="308">
        <v>8.0</v>
      </c>
      <c r="N1" t="n" s="311">
        <v>8.0</v>
      </c>
      <c r="O1" t="n" s="314">
        <v>9.0</v>
      </c>
      <c r="P1" t="n" s="317">
        <v>10.0</v>
      </c>
      <c r="Q1" t="n" s="320">
        <v>11.0</v>
      </c>
      <c r="R1" t="n" s="323">
        <v>12.0</v>
      </c>
      <c r="S1" t="n" s="326">
        <v>13.0</v>
      </c>
      <c r="T1" t="n" s="329">
        <v>13.0</v>
      </c>
    </row>
    <row r="2">
      <c r="D2" t="s" s="281">
        <v>67</v>
      </c>
      <c r="E2" t="n" s="283">
        <v>1.0</v>
      </c>
      <c r="F2" t="n" s="286">
        <v>2.0</v>
      </c>
      <c r="G2" t="n" s="289">
        <v>3.0</v>
      </c>
      <c r="H2" t="n" s="292">
        <v>4.0</v>
      </c>
      <c r="I2" t="n" s="295">
        <v>5.0</v>
      </c>
      <c r="J2" t="n" s="298">
        <v>6.0</v>
      </c>
      <c r="K2" t="n" s="301">
        <v>7.0</v>
      </c>
      <c r="L2" t="n" s="304">
        <v>8.0</v>
      </c>
      <c r="M2" t="n" s="307">
        <v>9.0</v>
      </c>
      <c r="N2" t="n" s="310">
        <v>10.0</v>
      </c>
      <c r="O2" t="n" s="313">
        <v>11.0</v>
      </c>
      <c r="P2" t="n" s="316">
        <v>12.0</v>
      </c>
      <c r="Q2" t="n" s="319">
        <v>13.0</v>
      </c>
      <c r="R2" t="n" s="322">
        <v>14.0</v>
      </c>
      <c r="S2" t="n" s="325">
        <v>15.0</v>
      </c>
      <c r="T2" t="n" s="328">
        <v>16.0</v>
      </c>
    </row>
    <row r="3">
      <c r="A3" s="279">
        <f>Список!A2</f>
      </c>
      <c r="B3" s="279">
        <f>Список!B2</f>
      </c>
      <c r="C3" t="s" s="279">
        <v>65</v>
      </c>
      <c r="D3" s="279">
        <f>Список!I2</f>
      </c>
      <c r="E3" t="n" s="282">
        <v>45539.0</v>
      </c>
      <c r="F3" t="n" s="285">
        <v>45546.0</v>
      </c>
      <c r="G3" t="n" s="288">
        <v>45553.0</v>
      </c>
      <c r="H3" t="n" s="291">
        <v>45556.0</v>
      </c>
      <c r="I3" t="n" s="294">
        <v>45560.0</v>
      </c>
      <c r="J3" t="n" s="297">
        <v>45567.0</v>
      </c>
      <c r="K3" t="n" s="300">
        <v>45574.0</v>
      </c>
      <c r="L3" t="n" s="303">
        <v>45581.0</v>
      </c>
      <c r="M3" t="n" s="306">
        <v>45588.0</v>
      </c>
      <c r="N3" t="n" s="309">
        <v>45591.0</v>
      </c>
      <c r="O3" t="n" s="312">
        <v>45595.0</v>
      </c>
      <c r="P3" t="n" s="315">
        <v>45602.0</v>
      </c>
      <c r="Q3" t="n" s="318">
        <v>45609.0</v>
      </c>
      <c r="R3" t="n" s="321">
        <v>45616.0</v>
      </c>
      <c r="S3" t="n" s="324">
        <v>45623.0</v>
      </c>
      <c r="T3" t="n" s="327">
        <v>45626.0</v>
      </c>
      <c r="U3" t="s" s="330">
        <v>68</v>
      </c>
    </row>
    <row r="4">
      <c r="A4" s="331">
        <f>Список!A3</f>
      </c>
      <c r="B4" s="331">
        <f>Список!B3</f>
      </c>
      <c r="C4" s="331">
        <f>Список!C3&amp;" "&amp;LEFT(Список!D3,1)&amp;"."&amp;LEFT(Список!E3,1)&amp;"."</f>
      </c>
      <c r="D4" s="331">
        <f>Список!I3</f>
      </c>
      <c r="E4" s="332"/>
      <c r="F4" s="333"/>
      <c r="G4" s="334"/>
      <c r="H4" s="335"/>
      <c r="I4" s="336"/>
      <c r="J4" s="337"/>
      <c r="K4" s="338"/>
      <c r="L4" s="339"/>
      <c r="M4" s="340"/>
      <c r="N4" s="341"/>
      <c r="O4" s="342"/>
      <c r="P4" s="343"/>
      <c r="Q4" s="344"/>
      <c r="R4" s="345"/>
      <c r="S4" s="346"/>
      <c r="T4" s="347"/>
      <c r="U4" t="n" s="348">
        <f>SUM(E4:T4)</f>
        <v>0.0</v>
      </c>
    </row>
    <row r="5">
      <c r="A5" s="331">
        <f>Список!A4</f>
      </c>
      <c r="B5" s="331">
        <f>Список!B4</f>
      </c>
      <c r="C5" s="331">
        <f>Список!C4&amp;" "&amp;LEFT(Список!D4,1)&amp;"."&amp;LEFT(Список!E4,1)&amp;"."</f>
      </c>
      <c r="D5" s="331">
        <f>Список!I4</f>
      </c>
      <c r="E5" s="349"/>
      <c r="F5" s="350"/>
      <c r="G5" s="351"/>
      <c r="H5" s="352"/>
      <c r="I5" s="353"/>
      <c r="J5" s="354"/>
      <c r="K5" s="355"/>
      <c r="L5" s="356"/>
      <c r="M5" s="357"/>
      <c r="N5" s="358"/>
      <c r="O5" s="359"/>
      <c r="P5" s="360"/>
      <c r="Q5" s="361"/>
      <c r="R5" s="362"/>
      <c r="S5" s="363"/>
      <c r="T5" s="364"/>
      <c r="U5" t="n" s="365">
        <f>SUM(E5:T5)</f>
        <v>0.0</v>
      </c>
    </row>
    <row r="6">
      <c r="A6" s="331">
        <f>Список!A5</f>
      </c>
      <c r="B6" s="331">
        <f>Список!B5</f>
      </c>
      <c r="C6" s="331">
        <f>Список!C5&amp;" "&amp;LEFT(Список!D5,1)&amp;"."&amp;LEFT(Список!E5,1)&amp;"."</f>
      </c>
      <c r="D6" s="331">
        <f>Список!I5</f>
      </c>
      <c r="E6" s="366"/>
      <c r="F6" s="367"/>
      <c r="G6" s="368"/>
      <c r="H6" s="369"/>
      <c r="I6" s="370"/>
      <c r="J6" s="371"/>
      <c r="K6" s="372"/>
      <c r="L6" s="373"/>
      <c r="M6" s="374"/>
      <c r="N6" s="375"/>
      <c r="O6" s="376"/>
      <c r="P6" s="377"/>
      <c r="Q6" s="378"/>
      <c r="R6" s="379"/>
      <c r="S6" s="380"/>
      <c r="T6" s="381"/>
      <c r="U6" t="n" s="382">
        <f>SUM(E6:T6)</f>
        <v>0.0</v>
      </c>
    </row>
    <row r="7">
      <c r="A7" s="331">
        <f>Список!A6</f>
      </c>
      <c r="B7" s="331">
        <f>Список!B6</f>
      </c>
      <c r="C7" s="331">
        <f>Список!C6&amp;" "&amp;LEFT(Список!D6,1)&amp;"."&amp;LEFT(Список!E6,1)&amp;"."</f>
      </c>
      <c r="D7" s="331">
        <f>Список!I6</f>
      </c>
      <c r="E7" s="383"/>
      <c r="F7" s="384"/>
      <c r="G7" s="385"/>
      <c r="H7" s="386"/>
      <c r="I7" s="387"/>
      <c r="J7" s="388"/>
      <c r="K7" s="389"/>
      <c r="L7" s="390"/>
      <c r="M7" s="391"/>
      <c r="N7" s="392"/>
      <c r="O7" s="393"/>
      <c r="P7" s="394"/>
      <c r="Q7" s="395"/>
      <c r="R7" s="396"/>
      <c r="S7" s="397"/>
      <c r="T7" s="398"/>
      <c r="U7" t="n" s="399">
        <f>SUM(E7:T7)</f>
        <v>0.0</v>
      </c>
    </row>
    <row r="8">
      <c r="A8" s="331">
        <f>Список!A7</f>
      </c>
      <c r="B8" s="331">
        <f>Список!B7</f>
      </c>
      <c r="C8" s="331">
        <f>Список!C7&amp;" "&amp;LEFT(Список!D7,1)&amp;"."&amp;LEFT(Список!E7,1)&amp;"."</f>
      </c>
      <c r="D8" s="331">
        <f>Список!I7</f>
      </c>
      <c r="E8" s="400"/>
      <c r="F8" s="401"/>
      <c r="G8" s="402"/>
      <c r="H8" s="403"/>
      <c r="I8" s="404"/>
      <c r="J8" s="405"/>
      <c r="K8" s="406"/>
      <c r="L8" s="407"/>
      <c r="M8" s="408"/>
      <c r="N8" s="409"/>
      <c r="O8" s="410"/>
      <c r="P8" s="411"/>
      <c r="Q8" s="412"/>
      <c r="R8" s="413"/>
      <c r="S8" s="414"/>
      <c r="T8" s="415"/>
      <c r="U8" t="n" s="416">
        <f>SUM(E8:T8)</f>
        <v>0.0</v>
      </c>
    </row>
    <row r="9">
      <c r="A9" s="331">
        <f>Список!A8</f>
      </c>
      <c r="B9" s="331">
        <f>Список!B8</f>
      </c>
      <c r="C9" s="331">
        <f>Список!C8&amp;" "&amp;LEFT(Список!D8,1)&amp;"."&amp;LEFT(Список!E8,1)&amp;"."</f>
      </c>
      <c r="D9" s="331">
        <f>Список!I8</f>
      </c>
      <c r="E9" s="417"/>
      <c r="F9" s="418"/>
      <c r="G9" s="419"/>
      <c r="H9" s="420"/>
      <c r="I9" s="421"/>
      <c r="J9" s="422"/>
      <c r="K9" s="423"/>
      <c r="L9" s="424"/>
      <c r="M9" s="425"/>
      <c r="N9" s="426"/>
      <c r="O9" s="427"/>
      <c r="P9" s="428"/>
      <c r="Q9" s="429"/>
      <c r="R9" s="430"/>
      <c r="S9" s="431"/>
      <c r="T9" s="432"/>
      <c r="U9" t="n" s="433">
        <f>SUM(E9:T9)</f>
        <v>0.0</v>
      </c>
    </row>
    <row r="10">
      <c r="A10" s="331">
        <f>Список!A9</f>
      </c>
      <c r="B10" s="331">
        <f>Список!B9</f>
      </c>
      <c r="C10" s="331">
        <f>Список!C9&amp;" "&amp;LEFT(Список!D9,1)&amp;"."&amp;LEFT(Список!E9,1)&amp;"."</f>
      </c>
      <c r="D10" s="331">
        <f>Список!I9</f>
      </c>
      <c r="E10" s="434"/>
      <c r="F10" s="435"/>
      <c r="G10" s="436"/>
      <c r="H10" s="437"/>
      <c r="I10" s="438"/>
      <c r="J10" s="439"/>
      <c r="K10" s="440"/>
      <c r="L10" s="441"/>
      <c r="M10" s="442"/>
      <c r="N10" s="443"/>
      <c r="O10" s="444"/>
      <c r="P10" s="445"/>
      <c r="Q10" s="446"/>
      <c r="R10" s="447"/>
      <c r="S10" s="448"/>
      <c r="T10" s="449"/>
      <c r="U10" t="n" s="450">
        <f>SUM(E10:T10)</f>
        <v>0.0</v>
      </c>
    </row>
    <row r="11">
      <c r="A11" s="331">
        <f>Список!A10</f>
      </c>
      <c r="B11" s="331">
        <f>Список!B10</f>
      </c>
      <c r="C11" s="331">
        <f>Список!C10&amp;" "&amp;LEFT(Список!D10,1)&amp;"."&amp;LEFT(Список!E10,1)&amp;"."</f>
      </c>
      <c r="D11" s="331">
        <f>Список!I10</f>
      </c>
      <c r="E11" s="451"/>
      <c r="F11" s="452"/>
      <c r="G11" s="453"/>
      <c r="H11" s="454"/>
      <c r="I11" s="455"/>
      <c r="J11" s="456"/>
      <c r="K11" s="457"/>
      <c r="L11" s="458"/>
      <c r="M11" s="459"/>
      <c r="N11" s="460"/>
      <c r="O11" s="461"/>
      <c r="P11" s="462"/>
      <c r="Q11" s="463"/>
      <c r="R11" s="464"/>
      <c r="S11" s="465"/>
      <c r="T11" s="466"/>
      <c r="U11" t="n" s="467">
        <f>SUM(E11:T11)</f>
        <v>0.0</v>
      </c>
    </row>
    <row r="12">
      <c r="A12" s="331">
        <f>Список!A11</f>
      </c>
      <c r="B12" s="331">
        <f>Список!B11</f>
      </c>
      <c r="C12" s="331">
        <f>Список!C11&amp;" "&amp;LEFT(Список!D11,1)&amp;"."&amp;LEFT(Список!E11,1)&amp;"."</f>
      </c>
      <c r="D12" s="331">
        <f>Список!I11</f>
      </c>
      <c r="E12" s="468"/>
      <c r="F12" s="469"/>
      <c r="G12" s="470"/>
      <c r="H12" s="471"/>
      <c r="I12" s="472"/>
      <c r="J12" s="473"/>
      <c r="K12" s="474"/>
      <c r="L12" s="475"/>
      <c r="M12" s="476"/>
      <c r="N12" s="477"/>
      <c r="O12" s="478"/>
      <c r="P12" s="479"/>
      <c r="Q12" s="480"/>
      <c r="R12" s="481"/>
      <c r="S12" s="482"/>
      <c r="T12" s="483"/>
      <c r="U12" t="n" s="484">
        <f>SUM(E12:T12)</f>
        <v>0.0</v>
      </c>
    </row>
    <row r="13">
      <c r="A13" s="331">
        <f>Список!A12</f>
      </c>
      <c r="B13" s="331">
        <f>Список!B12</f>
      </c>
      <c r="C13" s="331">
        <f>Список!C12&amp;" "&amp;LEFT(Список!D12,1)&amp;"."&amp;LEFT(Список!E12,1)&amp;"."</f>
      </c>
      <c r="D13" s="331">
        <f>Список!I12</f>
      </c>
      <c r="E13" s="485"/>
      <c r="F13" s="486"/>
      <c r="G13" s="487"/>
      <c r="H13" s="488"/>
      <c r="I13" s="489"/>
      <c r="J13" s="490"/>
      <c r="K13" s="491"/>
      <c r="L13" s="492"/>
      <c r="M13" s="493"/>
      <c r="N13" s="494"/>
      <c r="O13" s="495"/>
      <c r="P13" s="496"/>
      <c r="Q13" s="497"/>
      <c r="R13" s="498"/>
      <c r="S13" s="499"/>
      <c r="T13" s="500"/>
      <c r="U13" t="n" s="501">
        <f>SUM(E13:T13)</f>
        <v>0.0</v>
      </c>
    </row>
    <row r="14">
      <c r="A14" s="331">
        <f>Список!A13</f>
      </c>
      <c r="B14" s="331">
        <f>Список!B13</f>
      </c>
      <c r="C14" s="331">
        <f>Список!C13&amp;" "&amp;LEFT(Список!D13,1)&amp;"."&amp;LEFT(Список!E13,1)&amp;"."</f>
      </c>
      <c r="D14" s="331">
        <f>Список!I13</f>
      </c>
      <c r="E14" s="502"/>
      <c r="F14" s="503"/>
      <c r="G14" s="504"/>
      <c r="H14" s="505"/>
      <c r="I14" s="506"/>
      <c r="J14" s="507"/>
      <c r="K14" s="508"/>
      <c r="L14" s="509"/>
      <c r="M14" s="510"/>
      <c r="N14" s="511"/>
      <c r="O14" s="512"/>
      <c r="P14" s="513"/>
      <c r="Q14" s="514"/>
      <c r="R14" s="515"/>
      <c r="S14" s="516"/>
      <c r="T14" s="517"/>
      <c r="U14" t="n" s="518">
        <f>SUM(E14:T14)</f>
        <v>0.0</v>
      </c>
    </row>
  </sheetData>
  <autoFilter ref="A3:D3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U5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.12109375" customWidth="true" bestFit="true"/>
    <col min="2" max="2" width="2.12109375" customWidth="true" bestFit="true"/>
    <col min="3" max="3" width="13.6015625" customWidth="true" bestFit="true"/>
    <col min="4" max="4" width="14.78515625" customWidth="true" bestFit="true"/>
  </cols>
  <sheetData>
    <row r="1">
      <c r="C1" s="519">
        <f>Список!C1</f>
      </c>
      <c r="D1" t="s" s="520">
        <v>66</v>
      </c>
      <c r="E1" t="n" s="524">
        <v>1.0</v>
      </c>
      <c r="F1" t="n" s="527">
        <v>2.0</v>
      </c>
      <c r="G1" t="n" s="530">
        <v>3.0</v>
      </c>
      <c r="H1" t="n" s="533">
        <v>4.0</v>
      </c>
      <c r="I1" t="n" s="536">
        <v>4.0</v>
      </c>
      <c r="J1" t="n" s="539">
        <v>5.0</v>
      </c>
      <c r="K1" t="n" s="542">
        <v>6.0</v>
      </c>
      <c r="L1" t="n" s="545">
        <v>7.0</v>
      </c>
      <c r="M1" t="n" s="548">
        <v>8.0</v>
      </c>
      <c r="N1" t="n" s="551">
        <v>9.0</v>
      </c>
      <c r="O1" t="n" s="554">
        <v>9.0</v>
      </c>
      <c r="P1" t="n" s="557">
        <v>10.0</v>
      </c>
      <c r="Q1" t="n" s="560">
        <v>11.0</v>
      </c>
      <c r="R1" t="n" s="563">
        <v>12.0</v>
      </c>
      <c r="S1" t="n" s="566">
        <v>13.0</v>
      </c>
      <c r="T1" t="n" s="569">
        <v>14.0</v>
      </c>
    </row>
    <row r="2">
      <c r="D2" t="s" s="521">
        <v>67</v>
      </c>
      <c r="E2" t="n" s="523">
        <v>1.0</v>
      </c>
      <c r="F2" t="n" s="526">
        <v>2.0</v>
      </c>
      <c r="G2" t="n" s="529">
        <v>3.0</v>
      </c>
      <c r="H2" t="n" s="532">
        <v>4.0</v>
      </c>
      <c r="I2" t="n" s="535">
        <v>5.0</v>
      </c>
      <c r="J2" t="n" s="538">
        <v>6.0</v>
      </c>
      <c r="K2" t="n" s="541">
        <v>7.0</v>
      </c>
      <c r="L2" t="n" s="544">
        <v>8.0</v>
      </c>
      <c r="M2" t="n" s="547">
        <v>9.0</v>
      </c>
      <c r="N2" t="n" s="550">
        <v>10.0</v>
      </c>
      <c r="O2" t="n" s="553">
        <v>11.0</v>
      </c>
      <c r="P2" t="n" s="556">
        <v>12.0</v>
      </c>
      <c r="Q2" t="n" s="559">
        <v>13.0</v>
      </c>
      <c r="R2" t="n" s="562">
        <v>14.0</v>
      </c>
      <c r="S2" t="n" s="565">
        <v>15.0</v>
      </c>
      <c r="T2" t="n" s="568">
        <v>16.0</v>
      </c>
    </row>
    <row r="3">
      <c r="A3" s="519">
        <f>Список!A2</f>
      </c>
      <c r="B3" s="519">
        <f>Список!B2</f>
      </c>
      <c r="C3" t="s" s="519">
        <v>65</v>
      </c>
      <c r="D3" s="519">
        <f>Список!I2</f>
      </c>
      <c r="E3" t="n" s="522">
        <v>45540.0</v>
      </c>
      <c r="F3" t="n" s="525">
        <v>45547.0</v>
      </c>
      <c r="G3" t="n" s="528">
        <v>45554.0</v>
      </c>
      <c r="H3" t="n" s="531">
        <v>45561.0</v>
      </c>
      <c r="I3" t="n" s="534">
        <v>45563.0</v>
      </c>
      <c r="J3" t="n" s="537">
        <v>45568.0</v>
      </c>
      <c r="K3" t="n" s="540">
        <v>45575.0</v>
      </c>
      <c r="L3" t="n" s="543">
        <v>45582.0</v>
      </c>
      <c r="M3" t="n" s="546">
        <v>45589.0</v>
      </c>
      <c r="N3" t="n" s="549">
        <v>45596.0</v>
      </c>
      <c r="O3" t="n" s="552">
        <v>45598.0</v>
      </c>
      <c r="P3" t="n" s="555">
        <v>45603.0</v>
      </c>
      <c r="Q3" t="n" s="558">
        <v>45610.0</v>
      </c>
      <c r="R3" t="n" s="561">
        <v>45617.0</v>
      </c>
      <c r="S3" t="n" s="564">
        <v>45624.0</v>
      </c>
      <c r="T3" t="n" s="567">
        <v>45628.0</v>
      </c>
      <c r="U3" t="s" s="570">
        <v>68</v>
      </c>
    </row>
    <row r="4">
      <c r="A4" s="571">
        <f>Список!A14</f>
      </c>
      <c r="B4" s="571">
        <f>Список!B14</f>
      </c>
      <c r="C4" s="571">
        <f>Список!C14&amp;" "&amp;LEFT(Список!D14,1)&amp;"."&amp;LEFT(Список!E14,1)&amp;"."</f>
      </c>
      <c r="D4" s="571">
        <f>Список!I14</f>
      </c>
      <c r="E4" s="572"/>
      <c r="F4" s="573"/>
      <c r="G4" s="574"/>
      <c r="H4" s="575"/>
      <c r="I4" s="576"/>
      <c r="J4" s="577"/>
      <c r="K4" s="578"/>
      <c r="L4" s="579"/>
      <c r="M4" s="580"/>
      <c r="N4" s="581"/>
      <c r="O4" s="582"/>
      <c r="P4" s="583"/>
      <c r="Q4" s="584"/>
      <c r="R4" s="585"/>
      <c r="S4" s="586"/>
      <c r="T4" s="587"/>
      <c r="U4" t="n" s="588">
        <f>SUM(E4:T4)</f>
        <v>0.0</v>
      </c>
    </row>
    <row r="5">
      <c r="A5" s="571">
        <f>Список!A15</f>
      </c>
      <c r="B5" s="571">
        <f>Список!B15</f>
      </c>
      <c r="C5" s="571">
        <f>Список!C15&amp;" "&amp;LEFT(Список!D15,1)&amp;"."&amp;LEFT(Список!E15,1)&amp;"."</f>
      </c>
      <c r="D5" s="571">
        <f>Список!I15</f>
      </c>
      <c r="E5" s="589"/>
      <c r="F5" s="590"/>
      <c r="G5" s="591"/>
      <c r="H5" s="592"/>
      <c r="I5" s="593"/>
      <c r="J5" s="594"/>
      <c r="K5" s="595"/>
      <c r="L5" s="596"/>
      <c r="M5" s="597"/>
      <c r="N5" s="598"/>
      <c r="O5" s="599"/>
      <c r="P5" s="600"/>
      <c r="Q5" s="601"/>
      <c r="R5" s="602"/>
      <c r="S5" s="603"/>
      <c r="T5" s="604"/>
      <c r="U5" t="n" s="605">
        <f>SUM(E5:T5)</f>
        <v>0.0</v>
      </c>
    </row>
  </sheetData>
  <autoFilter ref="A3:D3"/>
  <pageMargins bottom="0.75" footer="0.3" header="0.3" left="0.7" right="0.7" top="0.75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2.12109375" customWidth="true" bestFit="true"/>
    <col min="2" max="2" width="2.12109375" customWidth="true" bestFit="true"/>
    <col min="3" max="3" width="13.6015625" customWidth="true" bestFit="true"/>
    <col min="4" max="4" width="2.12109375" customWidth="true" bestFit="true"/>
  </cols>
  <sheetData>
    <row r="1">
      <c r="C1" s="606">
        <f>Список!C1</f>
      </c>
      <c r="E1" t="s" s="0">
        <v>69</v>
      </c>
      <c r="L1" t="s" s="0">
        <v>73</v>
      </c>
      <c r="O1" t="s" s="0">
        <v>74</v>
      </c>
      <c r="R1" t="s" s="0">
        <v>75</v>
      </c>
    </row>
    <row r="2">
      <c r="A2" s="606">
        <f>Список!A2</f>
      </c>
      <c r="B2" s="606">
        <f>Список!B2</f>
      </c>
      <c r="C2" t="s" s="606">
        <v>65</v>
      </c>
      <c r="D2" s="606">
        <f>Список!I2</f>
      </c>
      <c r="E2" t="s" s="607">
        <v>70</v>
      </c>
      <c r="F2" t="s" s="608">
        <v>71</v>
      </c>
      <c r="G2" t="s" s="609">
        <v>72</v>
      </c>
      <c r="H2" s="610" t="n">
        <v>1.0</v>
      </c>
      <c r="I2" s="611" t="n">
        <v>2.0</v>
      </c>
      <c r="J2" s="612" t="n">
        <v>3.0</v>
      </c>
      <c r="K2" s="613" t="n">
        <v>4.0</v>
      </c>
      <c r="L2" t="s" s="614">
        <v>70</v>
      </c>
      <c r="M2" t="s" s="615">
        <v>71</v>
      </c>
      <c r="N2" t="s" s="616">
        <v>72</v>
      </c>
      <c r="O2" t="s" s="617">
        <v>70</v>
      </c>
      <c r="P2" t="s" s="618">
        <v>71</v>
      </c>
      <c r="Q2" t="s" s="619">
        <v>72</v>
      </c>
      <c r="R2" t="s" s="620">
        <v>70</v>
      </c>
      <c r="S2" t="s" s="621">
        <v>71</v>
      </c>
      <c r="T2" t="s" s="622">
        <v>72</v>
      </c>
      <c r="U2" s="623" t="n">
        <v>1.0</v>
      </c>
    </row>
    <row r="3">
      <c r="A3" s="624">
        <f>Список!A3</f>
      </c>
      <c r="B3" s="624">
        <f>Список!B3</f>
      </c>
      <c r="C3" s="624">
        <f>Список!C3&amp;" "&amp;LEFT(Список!D3,1)&amp;"."&amp;LEFT(Список!E3,1)&amp;"."</f>
      </c>
      <c r="D3" s="624">
        <f>Список!I3</f>
      </c>
      <c r="E3" s="625"/>
      <c r="F3" s="626"/>
      <c r="G3" s="627"/>
      <c r="H3" s="628"/>
      <c r="I3" s="629"/>
      <c r="J3" s="630"/>
      <c r="K3" s="631"/>
      <c r="L3" s="632"/>
      <c r="M3" s="633"/>
      <c r="N3" s="634"/>
      <c r="O3" s="635"/>
      <c r="P3" s="636"/>
      <c r="Q3" s="637"/>
      <c r="R3" s="638"/>
      <c r="S3" s="639"/>
      <c r="T3" s="640"/>
      <c r="U3" s="641"/>
    </row>
    <row r="4">
      <c r="A4" s="624">
        <f>Список!A4</f>
      </c>
      <c r="B4" s="624">
        <f>Список!B4</f>
      </c>
      <c r="C4" s="624">
        <f>Список!C4&amp;" "&amp;LEFT(Список!D4,1)&amp;"."&amp;LEFT(Список!E4,1)&amp;"."</f>
      </c>
      <c r="D4" s="624">
        <f>Список!I4</f>
      </c>
      <c r="E4" s="642"/>
      <c r="F4" s="643"/>
      <c r="G4" s="644"/>
      <c r="H4" s="645"/>
      <c r="I4" s="646"/>
      <c r="J4" s="647"/>
      <c r="K4" s="648"/>
      <c r="L4" s="649"/>
      <c r="M4" s="650"/>
      <c r="N4" s="651"/>
      <c r="O4" s="652"/>
      <c r="P4" s="653"/>
      <c r="Q4" s="654"/>
      <c r="R4" s="655"/>
      <c r="S4" s="656"/>
      <c r="T4" s="657"/>
      <c r="U4" s="658"/>
    </row>
    <row r="5">
      <c r="A5" s="624">
        <f>Список!A5</f>
      </c>
      <c r="B5" s="624">
        <f>Список!B5</f>
      </c>
      <c r="C5" s="624">
        <f>Список!C5&amp;" "&amp;LEFT(Список!D5,1)&amp;"."&amp;LEFT(Список!E5,1)&amp;"."</f>
      </c>
      <c r="D5" s="624">
        <f>Список!I5</f>
      </c>
      <c r="E5" s="659"/>
      <c r="F5" s="660"/>
      <c r="G5" s="661"/>
      <c r="H5" s="662"/>
      <c r="I5" s="663"/>
      <c r="J5" s="664"/>
      <c r="K5" s="665"/>
      <c r="L5" s="666"/>
      <c r="M5" s="667"/>
      <c r="N5" s="668"/>
      <c r="O5" s="669"/>
      <c r="P5" s="670"/>
      <c r="Q5" s="671"/>
      <c r="R5" s="672"/>
      <c r="S5" s="673"/>
      <c r="T5" s="674"/>
      <c r="U5" s="675"/>
    </row>
    <row r="6">
      <c r="A6" s="624">
        <f>Список!A6</f>
      </c>
      <c r="B6" s="624">
        <f>Список!B6</f>
      </c>
      <c r="C6" s="624">
        <f>Список!C6&amp;" "&amp;LEFT(Список!D6,1)&amp;"."&amp;LEFT(Список!E6,1)&amp;"."</f>
      </c>
      <c r="D6" s="624">
        <f>Список!I6</f>
      </c>
      <c r="E6" s="676"/>
      <c r="F6" s="677"/>
      <c r="G6" s="678"/>
      <c r="H6" s="679"/>
      <c r="I6" s="680"/>
      <c r="J6" s="681"/>
      <c r="K6" s="682"/>
      <c r="L6" s="683"/>
      <c r="M6" s="684"/>
      <c r="N6" s="685"/>
      <c r="O6" s="686"/>
      <c r="P6" s="687"/>
      <c r="Q6" s="688"/>
      <c r="R6" s="689"/>
      <c r="S6" s="690"/>
      <c r="T6" s="691"/>
      <c r="U6" s="692"/>
    </row>
    <row r="7">
      <c r="A7" s="624">
        <f>Список!A7</f>
      </c>
      <c r="B7" s="624">
        <f>Список!B7</f>
      </c>
      <c r="C7" s="624">
        <f>Список!C7&amp;" "&amp;LEFT(Список!D7,1)&amp;"."&amp;LEFT(Список!E7,1)&amp;"."</f>
      </c>
      <c r="D7" s="624">
        <f>Список!I7</f>
      </c>
      <c r="E7" s="693"/>
      <c r="F7" s="694"/>
      <c r="G7" s="695"/>
      <c r="H7" s="696"/>
      <c r="I7" s="697"/>
      <c r="J7" s="698"/>
      <c r="K7" s="699"/>
      <c r="L7" s="700"/>
      <c r="M7" s="701"/>
      <c r="N7" s="702"/>
      <c r="O7" s="703"/>
      <c r="P7" s="704"/>
      <c r="Q7" s="705"/>
      <c r="R7" s="706"/>
      <c r="S7" s="707"/>
      <c r="T7" s="708"/>
      <c r="U7" s="709"/>
    </row>
    <row r="8">
      <c r="A8" s="624">
        <f>Список!A8</f>
      </c>
      <c r="B8" s="624">
        <f>Список!B8</f>
      </c>
      <c r="C8" s="624">
        <f>Список!C8&amp;" "&amp;LEFT(Список!D8,1)&amp;"."&amp;LEFT(Список!E8,1)&amp;"."</f>
      </c>
      <c r="D8" s="624">
        <f>Список!I8</f>
      </c>
      <c r="E8" s="710"/>
      <c r="F8" s="711"/>
      <c r="G8" s="712"/>
      <c r="H8" s="713"/>
      <c r="I8" s="714"/>
      <c r="J8" s="715"/>
      <c r="K8" s="716"/>
      <c r="L8" s="717"/>
      <c r="M8" s="718"/>
      <c r="N8" s="719"/>
      <c r="O8" s="720"/>
      <c r="P8" s="721"/>
      <c r="Q8" s="722"/>
      <c r="R8" s="723"/>
      <c r="S8" s="724"/>
      <c r="T8" s="725"/>
      <c r="U8" s="726"/>
    </row>
    <row r="9">
      <c r="A9" s="624">
        <f>Список!A9</f>
      </c>
      <c r="B9" s="624">
        <f>Список!B9</f>
      </c>
      <c r="C9" s="624">
        <f>Список!C9&amp;" "&amp;LEFT(Список!D9,1)&amp;"."&amp;LEFT(Список!E9,1)&amp;"."</f>
      </c>
      <c r="D9" s="624">
        <f>Список!I9</f>
      </c>
      <c r="E9" s="727"/>
      <c r="F9" s="728"/>
      <c r="G9" s="729"/>
      <c r="H9" s="730"/>
      <c r="I9" s="731"/>
      <c r="J9" s="732"/>
      <c r="K9" s="733"/>
      <c r="L9" s="734"/>
      <c r="M9" s="735"/>
      <c r="N9" s="736"/>
      <c r="O9" s="737"/>
      <c r="P9" s="738"/>
      <c r="Q9" s="739"/>
      <c r="R9" s="740"/>
      <c r="S9" s="741"/>
      <c r="T9" s="742"/>
      <c r="U9" s="743"/>
    </row>
    <row r="10">
      <c r="A10" s="624">
        <f>Список!A10</f>
      </c>
      <c r="B10" s="624">
        <f>Список!B10</f>
      </c>
      <c r="C10" s="624">
        <f>Список!C10&amp;" "&amp;LEFT(Список!D10,1)&amp;"."&amp;LEFT(Список!E10,1)&amp;"."</f>
      </c>
      <c r="D10" s="624">
        <f>Список!I10</f>
      </c>
      <c r="E10" s="744"/>
      <c r="F10" s="745"/>
      <c r="G10" s="746"/>
      <c r="H10" s="747"/>
      <c r="I10" s="748"/>
      <c r="J10" s="749"/>
      <c r="K10" s="750"/>
      <c r="L10" s="751"/>
      <c r="M10" s="752"/>
      <c r="N10" s="753"/>
      <c r="O10" s="754"/>
      <c r="P10" s="755"/>
      <c r="Q10" s="756"/>
      <c r="R10" s="757"/>
      <c r="S10" s="758"/>
      <c r="T10" s="759"/>
      <c r="U10" s="760"/>
    </row>
    <row r="11">
      <c r="A11" s="624">
        <f>Список!A11</f>
      </c>
      <c r="B11" s="624">
        <f>Список!B11</f>
      </c>
      <c r="C11" s="624">
        <f>Список!C11&amp;" "&amp;LEFT(Список!D11,1)&amp;"."&amp;LEFT(Список!E11,1)&amp;"."</f>
      </c>
      <c r="D11" s="624">
        <f>Список!I11</f>
      </c>
      <c r="E11" s="761"/>
      <c r="F11" s="762"/>
      <c r="G11" s="763"/>
      <c r="H11" s="764"/>
      <c r="I11" s="765"/>
      <c r="J11" s="766"/>
      <c r="K11" s="767"/>
      <c r="L11" s="768"/>
      <c r="M11" s="769"/>
      <c r="N11" s="770"/>
      <c r="O11" s="771"/>
      <c r="P11" s="772"/>
      <c r="Q11" s="773"/>
      <c r="R11" s="774"/>
      <c r="S11" s="775"/>
      <c r="T11" s="776"/>
      <c r="U11" s="777"/>
    </row>
    <row r="12">
      <c r="A12" s="624">
        <f>Список!A12</f>
      </c>
      <c r="B12" s="624">
        <f>Список!B12</f>
      </c>
      <c r="C12" s="624">
        <f>Список!C12&amp;" "&amp;LEFT(Список!D12,1)&amp;"."&amp;LEFT(Список!E12,1)&amp;"."</f>
      </c>
      <c r="D12" s="624">
        <f>Список!I12</f>
      </c>
      <c r="E12" s="778"/>
      <c r="F12" s="779"/>
      <c r="G12" s="780"/>
      <c r="H12" s="781"/>
      <c r="I12" s="782"/>
      <c r="J12" s="783"/>
      <c r="K12" s="784"/>
      <c r="L12" s="785"/>
      <c r="M12" s="786"/>
      <c r="N12" s="787"/>
      <c r="O12" s="788"/>
      <c r="P12" s="789"/>
      <c r="Q12" s="790"/>
      <c r="R12" s="791"/>
      <c r="S12" s="792"/>
      <c r="T12" s="793"/>
      <c r="U12" s="794"/>
    </row>
    <row r="13">
      <c r="A13" s="624">
        <f>Список!A13</f>
      </c>
      <c r="B13" s="624">
        <f>Список!B13</f>
      </c>
      <c r="C13" s="624">
        <f>Список!C13&amp;" "&amp;LEFT(Список!D13,1)&amp;"."&amp;LEFT(Список!E13,1)&amp;"."</f>
      </c>
      <c r="D13" s="624">
        <f>Список!I13</f>
      </c>
      <c r="E13" s="795"/>
      <c r="F13" s="796"/>
      <c r="G13" s="797"/>
      <c r="H13" s="798"/>
      <c r="I13" s="799"/>
      <c r="J13" s="800"/>
      <c r="K13" s="801"/>
      <c r="L13" s="802"/>
      <c r="M13" s="803"/>
      <c r="N13" s="804"/>
      <c r="O13" s="805"/>
      <c r="P13" s="806"/>
      <c r="Q13" s="807"/>
      <c r="R13" s="808"/>
      <c r="S13" s="809"/>
      <c r="T13" s="810"/>
      <c r="U13" s="811"/>
    </row>
    <row r="14">
      <c r="A14" s="624">
        <f>Список!A14</f>
      </c>
      <c r="B14" s="624">
        <f>Список!B14</f>
      </c>
      <c r="C14" s="624">
        <f>Список!C14&amp;" "&amp;LEFT(Список!D14,1)&amp;"."&amp;LEFT(Список!E14,1)&amp;"."</f>
      </c>
      <c r="D14" s="624">
        <f>Список!I14</f>
      </c>
      <c r="E14" s="812"/>
      <c r="F14" s="813"/>
      <c r="G14" s="814"/>
      <c r="H14" s="815"/>
      <c r="I14" s="816"/>
      <c r="J14" s="817"/>
      <c r="K14" s="818"/>
      <c r="L14" s="819"/>
      <c r="M14" s="820"/>
      <c r="N14" s="821"/>
      <c r="O14" s="822"/>
      <c r="P14" s="823"/>
      <c r="Q14" s="824"/>
      <c r="R14" s="825"/>
      <c r="S14" s="826"/>
      <c r="T14" s="827"/>
      <c r="U14" s="828"/>
    </row>
    <row r="15">
      <c r="A15" s="624">
        <f>Список!A15</f>
      </c>
      <c r="B15" s="624">
        <f>Список!B15</f>
      </c>
      <c r="C15" s="624">
        <f>Список!C15&amp;" "&amp;LEFT(Список!D15,1)&amp;"."&amp;LEFT(Список!E15,1)&amp;"."</f>
      </c>
      <c r="D15" s="624">
        <f>Список!I15</f>
      </c>
      <c r="E15" s="829"/>
      <c r="F15" s="830"/>
      <c r="G15" s="831"/>
      <c r="H15" s="832"/>
      <c r="I15" s="833"/>
      <c r="J15" s="834"/>
      <c r="K15" s="835"/>
      <c r="L15" s="836"/>
      <c r="M15" s="837"/>
      <c r="N15" s="838"/>
      <c r="O15" s="839"/>
      <c r="P15" s="840"/>
      <c r="Q15" s="841"/>
      <c r="R15" s="842"/>
      <c r="S15" s="843"/>
      <c r="T15" s="844"/>
      <c r="U15" s="845"/>
    </row>
  </sheetData>
  <autoFilter ref="A2:D2"/>
  <mergeCells count="4">
    <mergeCell ref="E1:K1"/>
    <mergeCell ref="L1:N1"/>
    <mergeCell ref="O1:Q1"/>
    <mergeCell ref="R1:U1"/>
  </mergeCells>
  <dataValidations count="52">
    <dataValidation type="list" sqref="E3" allowBlank="true" errorStyle="stop" showDropDown="false">
      <formula1>"0.1,0.5,0.7,1.0"</formula1>
    </dataValidation>
    <dataValidation type="list" sqref="L3" allowBlank="true" errorStyle="stop" showDropDown="false">
      <formula1>"0.1,0.5,0.7,1.0"</formula1>
    </dataValidation>
    <dataValidation type="list" sqref="O3" allowBlank="true" errorStyle="stop" showDropDown="false">
      <formula1>"0.1,0.5,0.7,1.0"</formula1>
    </dataValidation>
    <dataValidation type="list" sqref="R3" allowBlank="true" errorStyle="stop" showDropDown="false">
      <formula1>"0.1,0.5,0.7,1.0"</formula1>
    </dataValidation>
    <dataValidation type="list" sqref="E4" allowBlank="true" errorStyle="stop" showDropDown="false">
      <formula1>"0.1,0.5,0.7,1.0"</formula1>
    </dataValidation>
    <dataValidation type="list" sqref="L4" allowBlank="true" errorStyle="stop" showDropDown="false">
      <formula1>"0.1,0.5,0.7,1.0"</formula1>
    </dataValidation>
    <dataValidation type="list" sqref="O4" allowBlank="true" errorStyle="stop" showDropDown="false">
      <formula1>"0.1,0.5,0.7,1.0"</formula1>
    </dataValidation>
    <dataValidation type="list" sqref="R4" allowBlank="true" errorStyle="stop" showDropDown="false">
      <formula1>"0.1,0.5,0.7,1.0"</formula1>
    </dataValidation>
    <dataValidation type="list" sqref="E5" allowBlank="true" errorStyle="stop" showDropDown="false">
      <formula1>"0.1,0.5,0.7,1.0"</formula1>
    </dataValidation>
    <dataValidation type="list" sqref="L5" allowBlank="true" errorStyle="stop" showDropDown="false">
      <formula1>"0.1,0.5,0.7,1.0"</formula1>
    </dataValidation>
    <dataValidation type="list" sqref="O5" allowBlank="true" errorStyle="stop" showDropDown="false">
      <formula1>"0.1,0.5,0.7,1.0"</formula1>
    </dataValidation>
    <dataValidation type="list" sqref="R5" allowBlank="true" errorStyle="stop" showDropDown="false">
      <formula1>"0.1,0.5,0.7,1.0"</formula1>
    </dataValidation>
    <dataValidation type="list" sqref="E6" allowBlank="true" errorStyle="stop" showDropDown="false">
      <formula1>"0.1,0.5,0.7,1.0"</formula1>
    </dataValidation>
    <dataValidation type="list" sqref="L6" allowBlank="true" errorStyle="stop" showDropDown="false">
      <formula1>"0.1,0.5,0.7,1.0"</formula1>
    </dataValidation>
    <dataValidation type="list" sqref="O6" allowBlank="true" errorStyle="stop" showDropDown="false">
      <formula1>"0.1,0.5,0.7,1.0"</formula1>
    </dataValidation>
    <dataValidation type="list" sqref="R6" allowBlank="true" errorStyle="stop" showDropDown="false">
      <formula1>"0.1,0.5,0.7,1.0"</formula1>
    </dataValidation>
    <dataValidation type="list" sqref="E7" allowBlank="true" errorStyle="stop" showDropDown="false">
      <formula1>"0.1,0.5,0.7,1.0"</formula1>
    </dataValidation>
    <dataValidation type="list" sqref="L7" allowBlank="true" errorStyle="stop" showDropDown="false">
      <formula1>"0.1,0.5,0.7,1.0"</formula1>
    </dataValidation>
    <dataValidation type="list" sqref="O7" allowBlank="true" errorStyle="stop" showDropDown="false">
      <formula1>"0.1,0.5,0.7,1.0"</formula1>
    </dataValidation>
    <dataValidation type="list" sqref="R7" allowBlank="true" errorStyle="stop" showDropDown="false">
      <formula1>"0.1,0.5,0.7,1.0"</formula1>
    </dataValidation>
    <dataValidation type="list" sqref="E8" allowBlank="true" errorStyle="stop" showDropDown="false">
      <formula1>"0.1,0.5,0.7,1.0"</formula1>
    </dataValidation>
    <dataValidation type="list" sqref="L8" allowBlank="true" errorStyle="stop" showDropDown="false">
      <formula1>"0.1,0.5,0.7,1.0"</formula1>
    </dataValidation>
    <dataValidation type="list" sqref="O8" allowBlank="true" errorStyle="stop" showDropDown="false">
      <formula1>"0.1,0.5,0.7,1.0"</formula1>
    </dataValidation>
    <dataValidation type="list" sqref="R8" allowBlank="true" errorStyle="stop" showDropDown="false">
      <formula1>"0.1,0.5,0.7,1.0"</formula1>
    </dataValidation>
    <dataValidation type="list" sqref="E9" allowBlank="true" errorStyle="stop" showDropDown="false">
      <formula1>"0.1,0.5,0.7,1.0"</formula1>
    </dataValidation>
    <dataValidation type="list" sqref="L9" allowBlank="true" errorStyle="stop" showDropDown="false">
      <formula1>"0.1,0.5,0.7,1.0"</formula1>
    </dataValidation>
    <dataValidation type="list" sqref="O9" allowBlank="true" errorStyle="stop" showDropDown="false">
      <formula1>"0.1,0.5,0.7,1.0"</formula1>
    </dataValidation>
    <dataValidation type="list" sqref="R9" allowBlank="true" errorStyle="stop" showDropDown="false">
      <formula1>"0.1,0.5,0.7,1.0"</formula1>
    </dataValidation>
    <dataValidation type="list" sqref="E10" allowBlank="true" errorStyle="stop" showDropDown="false">
      <formula1>"0.1,0.5,0.7,1.0"</formula1>
    </dataValidation>
    <dataValidation type="list" sqref="L10" allowBlank="true" errorStyle="stop" showDropDown="false">
      <formula1>"0.1,0.5,0.7,1.0"</formula1>
    </dataValidation>
    <dataValidation type="list" sqref="O10" allowBlank="true" errorStyle="stop" showDropDown="false">
      <formula1>"0.1,0.5,0.7,1.0"</formula1>
    </dataValidation>
    <dataValidation type="list" sqref="R10" allowBlank="true" errorStyle="stop" showDropDown="false">
      <formula1>"0.1,0.5,0.7,1.0"</formula1>
    </dataValidation>
    <dataValidation type="list" sqref="E11" allowBlank="true" errorStyle="stop" showDropDown="false">
      <formula1>"0.1,0.5,0.7,1.0"</formula1>
    </dataValidation>
    <dataValidation type="list" sqref="L11" allowBlank="true" errorStyle="stop" showDropDown="false">
      <formula1>"0.1,0.5,0.7,1.0"</formula1>
    </dataValidation>
    <dataValidation type="list" sqref="O11" allowBlank="true" errorStyle="stop" showDropDown="false">
      <formula1>"0.1,0.5,0.7,1.0"</formula1>
    </dataValidation>
    <dataValidation type="list" sqref="R11" allowBlank="true" errorStyle="stop" showDropDown="false">
      <formula1>"0.1,0.5,0.7,1.0"</formula1>
    </dataValidation>
    <dataValidation type="list" sqref="E12" allowBlank="true" errorStyle="stop" showDropDown="false">
      <formula1>"0.1,0.5,0.7,1.0"</formula1>
    </dataValidation>
    <dataValidation type="list" sqref="L12" allowBlank="true" errorStyle="stop" showDropDown="false">
      <formula1>"0.1,0.5,0.7,1.0"</formula1>
    </dataValidation>
    <dataValidation type="list" sqref="O12" allowBlank="true" errorStyle="stop" showDropDown="false">
      <formula1>"0.1,0.5,0.7,1.0"</formula1>
    </dataValidation>
    <dataValidation type="list" sqref="R12" allowBlank="true" errorStyle="stop" showDropDown="false">
      <formula1>"0.1,0.5,0.7,1.0"</formula1>
    </dataValidation>
    <dataValidation type="list" sqref="E13" allowBlank="true" errorStyle="stop" showDropDown="false">
      <formula1>"0.1,0.5,0.7,1.0"</formula1>
    </dataValidation>
    <dataValidation type="list" sqref="L13" allowBlank="true" errorStyle="stop" showDropDown="false">
      <formula1>"0.1,0.5,0.7,1.0"</formula1>
    </dataValidation>
    <dataValidation type="list" sqref="O13" allowBlank="true" errorStyle="stop" showDropDown="false">
      <formula1>"0.1,0.5,0.7,1.0"</formula1>
    </dataValidation>
    <dataValidation type="list" sqref="R13" allowBlank="true" errorStyle="stop" showDropDown="false">
      <formula1>"0.1,0.5,0.7,1.0"</formula1>
    </dataValidation>
    <dataValidation type="list" sqref="E14" allowBlank="true" errorStyle="stop" showDropDown="false">
      <formula1>"0.1,0.5,0.7,1.0"</formula1>
    </dataValidation>
    <dataValidation type="list" sqref="L14" allowBlank="true" errorStyle="stop" showDropDown="false">
      <formula1>"0.1,0.5,0.7,1.0"</formula1>
    </dataValidation>
    <dataValidation type="list" sqref="O14" allowBlank="true" errorStyle="stop" showDropDown="false">
      <formula1>"0.1,0.5,0.7,1.0"</formula1>
    </dataValidation>
    <dataValidation type="list" sqref="R14" allowBlank="true" errorStyle="stop" showDropDown="false">
      <formula1>"0.1,0.5,0.7,1.0"</formula1>
    </dataValidation>
    <dataValidation type="list" sqref="E15" allowBlank="true" errorStyle="stop" showDropDown="false">
      <formula1>"0.1,0.5,0.7,1.0"</formula1>
    </dataValidation>
    <dataValidation type="list" sqref="L15" allowBlank="true" errorStyle="stop" showDropDown="false">
      <formula1>"0.1,0.5,0.7,1.0"</formula1>
    </dataValidation>
    <dataValidation type="list" sqref="O15" allowBlank="true" errorStyle="stop" showDropDown="false">
      <formula1>"0.1,0.5,0.7,1.0"</formula1>
    </dataValidation>
    <dataValidation type="list" sqref="R15" allowBlank="true" errorStyle="stop" showDropDown="false">
      <formula1>"0.1,0.5,0.7,1.0"</formula1>
    </dataValidation>
  </dataValidations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>
  <dimension ref="A1:I36"/>
  <sheetViews>
    <sheetView workbookViewId="0"/>
  </sheetViews>
  <sheetFormatPr defaultRowHeight="15.0"/>
  <sheetData>
    <row r="1">
      <c r="A1" t="s" s="846">
        <v>76</v>
      </c>
      <c r="E1" t="s" s="854">
        <v>81</v>
      </c>
    </row>
    <row r="2">
      <c r="A2" t="s" s="847">
        <v>77</v>
      </c>
      <c r="B2" t="s" s="848">
        <v>78</v>
      </c>
      <c r="C2" t="s" s="849">
        <v>79</v>
      </c>
      <c r="E2" t="s" s="854">
        <v>82</v>
      </c>
      <c r="F2" t="s" s="854">
        <v>83</v>
      </c>
      <c r="G2" t="s" s="854">
        <v>84</v>
      </c>
      <c r="H2" t="s" s="854">
        <v>85</v>
      </c>
      <c r="I2" t="s" s="854">
        <v>86</v>
      </c>
    </row>
    <row r="3">
      <c r="A3" t="n" s="0">
        <v>1.0</v>
      </c>
      <c r="B3" t="n" s="0">
        <v>1.0</v>
      </c>
      <c r="C3" t="n" s="856">
        <v>45539.0</v>
      </c>
      <c r="E3" t="s" s="855">
        <v>87</v>
      </c>
      <c r="F3" t="s" s="855">
        <v>88</v>
      </c>
      <c r="G3" t="s" s="855">
        <v>89</v>
      </c>
      <c r="H3" t="s" s="855">
        <v>90</v>
      </c>
      <c r="I3" t="s" s="855">
        <v>91</v>
      </c>
    </row>
    <row r="4">
      <c r="A4" t="n" s="0">
        <v>2.0</v>
      </c>
      <c r="B4" t="n" s="0">
        <v>2.0</v>
      </c>
      <c r="C4" t="n" s="857">
        <v>45546.0</v>
      </c>
      <c r="E4" t="s" s="855">
        <v>92</v>
      </c>
      <c r="F4" t="s" s="855">
        <v>88</v>
      </c>
      <c r="G4" t="s" s="855">
        <v>89</v>
      </c>
      <c r="H4" t="s" s="855">
        <v>90</v>
      </c>
      <c r="I4" t="s" s="855">
        <v>91</v>
      </c>
    </row>
    <row r="5">
      <c r="A5" t="n" s="0">
        <v>3.0</v>
      </c>
      <c r="B5" t="n" s="0">
        <v>3.0</v>
      </c>
      <c r="C5" t="n" s="858">
        <v>45553.0</v>
      </c>
    </row>
    <row r="6">
      <c r="A6" t="n" s="0">
        <v>3.0</v>
      </c>
      <c r="B6" t="n" s="0">
        <v>4.0</v>
      </c>
      <c r="C6" t="n" s="859">
        <v>45556.0</v>
      </c>
    </row>
    <row r="7">
      <c r="A7" t="n" s="0">
        <v>4.0</v>
      </c>
      <c r="B7" t="n" s="0">
        <v>5.0</v>
      </c>
      <c r="C7" t="n" s="860">
        <v>45560.0</v>
      </c>
    </row>
    <row r="8">
      <c r="A8" t="n" s="0">
        <v>5.0</v>
      </c>
      <c r="B8" t="n" s="0">
        <v>6.0</v>
      </c>
      <c r="C8" t="n" s="861">
        <v>45567.0</v>
      </c>
    </row>
    <row r="9">
      <c r="A9" t="n" s="0">
        <v>6.0</v>
      </c>
      <c r="B9" t="n" s="0">
        <v>7.0</v>
      </c>
      <c r="C9" t="n" s="862">
        <v>45574.0</v>
      </c>
    </row>
    <row r="10">
      <c r="A10" t="n" s="0">
        <v>7.0</v>
      </c>
      <c r="B10" t="n" s="0">
        <v>8.0</v>
      </c>
      <c r="C10" t="n" s="863">
        <v>45581.0</v>
      </c>
    </row>
    <row r="11">
      <c r="A11" t="n" s="0">
        <v>8.0</v>
      </c>
      <c r="B11" t="n" s="0">
        <v>9.0</v>
      </c>
      <c r="C11" t="n" s="864">
        <v>45588.0</v>
      </c>
    </row>
    <row r="12">
      <c r="A12" t="n" s="0">
        <v>8.0</v>
      </c>
      <c r="B12" t="n" s="0">
        <v>10.0</v>
      </c>
      <c r="C12" t="n" s="865">
        <v>45591.0</v>
      </c>
    </row>
    <row r="13">
      <c r="A13" t="n" s="0">
        <v>9.0</v>
      </c>
      <c r="B13" t="n" s="0">
        <v>11.0</v>
      </c>
      <c r="C13" t="n" s="866">
        <v>45595.0</v>
      </c>
    </row>
    <row r="14">
      <c r="A14" t="n" s="0">
        <v>10.0</v>
      </c>
      <c r="B14" t="n" s="0">
        <v>12.0</v>
      </c>
      <c r="C14" t="n" s="867">
        <v>45602.0</v>
      </c>
    </row>
    <row r="15">
      <c r="A15" t="n" s="0">
        <v>11.0</v>
      </c>
      <c r="B15" t="n" s="0">
        <v>13.0</v>
      </c>
      <c r="C15" t="n" s="868">
        <v>45609.0</v>
      </c>
    </row>
    <row r="16">
      <c r="A16" t="n" s="0">
        <v>12.0</v>
      </c>
      <c r="B16" t="n" s="0">
        <v>14.0</v>
      </c>
      <c r="C16" t="n" s="869">
        <v>45616.0</v>
      </c>
    </row>
    <row r="17">
      <c r="A17" t="n" s="0">
        <v>13.0</v>
      </c>
      <c r="B17" t="n" s="0">
        <v>15.0</v>
      </c>
      <c r="C17" t="n" s="870">
        <v>45623.0</v>
      </c>
    </row>
    <row r="18">
      <c r="A18" t="n" s="0">
        <v>13.0</v>
      </c>
      <c r="B18" t="n" s="0">
        <v>16.0</v>
      </c>
      <c r="C18" t="n" s="871">
        <v>45626.0</v>
      </c>
    </row>
    <row r="19">
      <c r="A19" t="s" s="850">
        <v>80</v>
      </c>
    </row>
    <row r="20">
      <c r="A20" t="s" s="851">
        <v>77</v>
      </c>
      <c r="B20" t="s" s="852">
        <v>78</v>
      </c>
      <c r="C20" t="s" s="853">
        <v>79</v>
      </c>
    </row>
    <row r="21">
      <c r="A21" t="n" s="0">
        <v>1.0</v>
      </c>
      <c r="B21" t="n" s="0">
        <v>1.0</v>
      </c>
      <c r="C21" t="n" s="872">
        <v>45540.0</v>
      </c>
    </row>
    <row r="22">
      <c r="A22" t="n" s="0">
        <v>2.0</v>
      </c>
      <c r="B22" t="n" s="0">
        <v>2.0</v>
      </c>
      <c r="C22" t="n" s="873">
        <v>45547.0</v>
      </c>
    </row>
    <row r="23">
      <c r="A23" t="n" s="0">
        <v>3.0</v>
      </c>
      <c r="B23" t="n" s="0">
        <v>3.0</v>
      </c>
      <c r="C23" t="n" s="874">
        <v>45554.0</v>
      </c>
    </row>
    <row r="24">
      <c r="A24" t="n" s="0">
        <v>4.0</v>
      </c>
      <c r="B24" t="n" s="0">
        <v>4.0</v>
      </c>
      <c r="C24" t="n" s="875">
        <v>45561.0</v>
      </c>
    </row>
    <row r="25">
      <c r="A25" t="n" s="0">
        <v>4.0</v>
      </c>
      <c r="B25" t="n" s="0">
        <v>5.0</v>
      </c>
      <c r="C25" t="n" s="876">
        <v>45563.0</v>
      </c>
    </row>
    <row r="26">
      <c r="A26" t="n" s="0">
        <v>5.0</v>
      </c>
      <c r="B26" t="n" s="0">
        <v>6.0</v>
      </c>
      <c r="C26" t="n" s="877">
        <v>45568.0</v>
      </c>
    </row>
    <row r="27">
      <c r="A27" t="n" s="0">
        <v>6.0</v>
      </c>
      <c r="B27" t="n" s="0">
        <v>7.0</v>
      </c>
      <c r="C27" t="n" s="878">
        <v>45575.0</v>
      </c>
    </row>
    <row r="28">
      <c r="A28" t="n" s="0">
        <v>7.0</v>
      </c>
      <c r="B28" t="n" s="0">
        <v>8.0</v>
      </c>
      <c r="C28" t="n" s="879">
        <v>45582.0</v>
      </c>
    </row>
    <row r="29">
      <c r="A29" t="n" s="0">
        <v>8.0</v>
      </c>
      <c r="B29" t="n" s="0">
        <v>9.0</v>
      </c>
      <c r="C29" t="n" s="880">
        <v>45589.0</v>
      </c>
    </row>
    <row r="30">
      <c r="A30" t="n" s="0">
        <v>9.0</v>
      </c>
      <c r="B30" t="n" s="0">
        <v>10.0</v>
      </c>
      <c r="C30" t="n" s="881">
        <v>45596.0</v>
      </c>
    </row>
    <row r="31">
      <c r="A31" t="n" s="0">
        <v>9.0</v>
      </c>
      <c r="B31" t="n" s="0">
        <v>11.0</v>
      </c>
      <c r="C31" t="n" s="882">
        <v>45598.0</v>
      </c>
    </row>
    <row r="32">
      <c r="A32" t="n" s="0">
        <v>10.0</v>
      </c>
      <c r="B32" t="n" s="0">
        <v>12.0</v>
      </c>
      <c r="C32" t="n" s="883">
        <v>45603.0</v>
      </c>
    </row>
    <row r="33">
      <c r="A33" t="n" s="0">
        <v>11.0</v>
      </c>
      <c r="B33" t="n" s="0">
        <v>13.0</v>
      </c>
      <c r="C33" t="n" s="884">
        <v>45610.0</v>
      </c>
    </row>
    <row r="34">
      <c r="A34" t="n" s="0">
        <v>12.0</v>
      </c>
      <c r="B34" t="n" s="0">
        <v>14.0</v>
      </c>
      <c r="C34" t="n" s="885">
        <v>45617.0</v>
      </c>
    </row>
    <row r="35">
      <c r="A35" t="n" s="0">
        <v>13.0</v>
      </c>
      <c r="B35" t="n" s="0">
        <v>15.0</v>
      </c>
      <c r="C35" t="n" s="886">
        <v>45624.0</v>
      </c>
    </row>
    <row r="36">
      <c r="A36" t="n" s="0">
        <v>14.0</v>
      </c>
      <c r="B36" t="n" s="0">
        <v>16.0</v>
      </c>
      <c r="C36" t="n" s="887">
        <v>45628.0</v>
      </c>
    </row>
  </sheetData>
  <mergeCells count="3">
    <mergeCell ref="A1:C1"/>
    <mergeCell ref="A19:C19"/>
    <mergeCell ref="E1:I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Q15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2.12109375" customWidth="true" bestFit="true"/>
    <col min="2" max="2" width="2.12109375" customWidth="true" bestFit="true"/>
    <col min="3" max="3" width="13.6015625" customWidth="true" bestFit="true"/>
    <col min="4" max="4" width="2.12109375" customWidth="true" bestFit="true"/>
  </cols>
  <sheetData>
    <row r="1">
      <c r="C1" s="888">
        <f>Список!C1</f>
      </c>
      <c r="E1" t="s" s="889">
        <v>93</v>
      </c>
      <c r="F1" t="s" s="890">
        <v>94</v>
      </c>
      <c r="G1" t="s" s="891">
        <v>95</v>
      </c>
      <c r="H1" t="s" s="892">
        <v>96</v>
      </c>
      <c r="I1" t="s" s="893">
        <v>69</v>
      </c>
      <c r="J1" t="s" s="894">
        <v>73</v>
      </c>
      <c r="K1" t="s" s="895">
        <v>74</v>
      </c>
      <c r="L1" t="s" s="896">
        <v>75</v>
      </c>
      <c r="M1" t="s" s="897">
        <v>97</v>
      </c>
      <c r="N1" t="s" s="898">
        <v>98</v>
      </c>
      <c r="O1" t="s" s="899">
        <v>99</v>
      </c>
      <c r="P1" t="s" s="900">
        <v>100</v>
      </c>
      <c r="Q1" t="s" s="901">
        <v>101</v>
      </c>
    </row>
    <row r="2">
      <c r="A2" s="888">
        <f>Список!A2</f>
      </c>
      <c r="B2" s="888">
        <f>Список!B2</f>
      </c>
      <c r="C2" t="s" s="888">
        <v>65</v>
      </c>
      <c r="D2" s="888">
        <f>Список!I2</f>
      </c>
      <c r="E2" t="n" s="889">
        <v>25.0</v>
      </c>
      <c r="F2" t="n" s="890">
        <v>15.0</v>
      </c>
      <c r="G2" t="n" s="891">
        <v>10.0</v>
      </c>
      <c r="H2" t="n" s="892">
        <v>26.0</v>
      </c>
      <c r="I2" t="n" s="893">
        <v>5.0</v>
      </c>
      <c r="J2" t="n" s="894">
        <v>7.0</v>
      </c>
      <c r="K2" t="n" s="895">
        <v>7.0</v>
      </c>
      <c r="L2" t="n" s="896">
        <v>7.0</v>
      </c>
      <c r="M2" t="n" s="897">
        <v>51.0</v>
      </c>
      <c r="N2" s="898"/>
      <c r="O2" t="n" s="899">
        <v>30.0</v>
      </c>
      <c r="P2" t="n" s="900">
        <v>100.0</v>
      </c>
      <c r="Q2" t="s" s="902">
        <v>102</v>
      </c>
    </row>
    <row r="3">
      <c r="A3" s="903">
        <f>Список!A3</f>
      </c>
      <c r="B3" s="903">
        <f>Список!B3</f>
      </c>
      <c r="C3" s="903">
        <f>Список!C3&amp;" "&amp;LEFT(Список!D3,1)&amp;"."&amp;LEFT(Список!E3,1)&amp;"."</f>
      </c>
      <c r="D3" s="903">
        <f>Список!I3</f>
      </c>
      <c r="E3" s="904" t="n">
        <f>IF(SUM(F3:G3)&gt;=25,SUM(F3:G3)+10,SUM(F3:G3))</f>
        <v>0.0</v>
      </c>
      <c r="F3" s="905" t="str">
        <f>IF(Лекції!U4&gt;0, (Лекції!U4/17) *15, "")</f>
        <v/>
      </c>
      <c r="G3" s="906" t="str">
        <f>IF(Лекції!U5&gt;0, (Лекції!U5/17) *15, "")</f>
        <v/>
      </c>
      <c r="H3" s="907" t="n">
        <f>IF(SUM(I3:L3)&gt;=26,SUM(I3:L3)+10,SUM(I3:L3))</f>
        <v>0.0</v>
      </c>
      <c r="I3" s="908" t="str">
        <f>IF(Лабораторні!E3&gt;0, ROUNDUP(I2*REPLACE(Лабораторні!E3, FIND(".",Лабораторні!E3),1,","), 0),"")</f>
        <v/>
      </c>
      <c r="J3" s="909" t="str">
        <f>IF(Лабораторні!L3&gt;0, ROUNDUP(J2*REPLACE(Лабораторні!L3, FIND(".",Лабораторні!L3),1,","), 0),"")</f>
        <v/>
      </c>
      <c r="K3" s="910" t="str">
        <f>IF(Лабораторні!O3&gt;0, ROUNDUP(K2*REPLACE(Лабораторні!O3, FIND(".",Лабораторні!O3),1,","), 0),"")</f>
        <v/>
      </c>
      <c r="L3" s="911" t="str">
        <f>IF(Лабораторні!R3&gt;0, ROUNDUP(L2*REPLACE(Лабораторні!R3, FIND(".",Лабораторні!R3),1,","), 0),"")</f>
        <v/>
      </c>
      <c r="M3" s="912">
        <f>E3+H3</f>
      </c>
      <c r="N3" s="913"/>
      <c r="O3" s="914"/>
      <c r="P3" s="915" t="n">
        <f>O3+N3+M3</f>
        <v>0.0</v>
      </c>
      <c r="Q3" s="916" t="str">
        <f>IFERROR(CHOOSE(MATCH(P3,{60,64,75,82,90},1),"3E","3D","4C","4B","5A"),"")</f>
        <v/>
      </c>
    </row>
    <row r="4">
      <c r="A4" s="903">
        <f>Список!A4</f>
      </c>
      <c r="B4" s="903">
        <f>Список!B4</f>
      </c>
      <c r="C4" s="903">
        <f>Список!C4&amp;" "&amp;LEFT(Список!D4,1)&amp;"."&amp;LEFT(Список!E4,1)&amp;"."</f>
      </c>
      <c r="D4" s="903">
        <f>Список!I4</f>
      </c>
      <c r="E4" s="917" t="n">
        <f>IF(SUM(F4:G4)&gt;=25,SUM(F4:G4)+10,SUM(F4:G4))</f>
        <v>0.0</v>
      </c>
      <c r="F4" s="918" t="str">
        <f>IF(Лекції!U6&gt;0, (Лекції!U6/17) *15, "")</f>
        <v/>
      </c>
      <c r="G4" s="919" t="str">
        <f>IF(Лекції!U7&gt;0, (Лекції!U7/17) *15, "")</f>
        <v/>
      </c>
      <c r="H4" s="920" t="n">
        <f>IF(SUM(I4:L4)&gt;=26,SUM(I4:L4)+10,SUM(I4:L4))</f>
        <v>0.0</v>
      </c>
      <c r="I4" s="921" t="str">
        <f>IF(Лабораторні!E4&gt;0, ROUNDUP(I2*REPLACE(Лабораторні!E4, FIND(".",Лабораторні!E4),1,","), 0),"")</f>
        <v/>
      </c>
      <c r="J4" s="922" t="str">
        <f>IF(Лабораторні!L4&gt;0, ROUNDUP(J2*REPLACE(Лабораторні!L4, FIND(".",Лабораторні!L4),1,","), 0),"")</f>
        <v/>
      </c>
      <c r="K4" s="923" t="str">
        <f>IF(Лабораторні!O4&gt;0, ROUNDUP(K2*REPLACE(Лабораторні!O4, FIND(".",Лабораторні!O4),1,","), 0),"")</f>
        <v/>
      </c>
      <c r="L4" s="924" t="str">
        <f>IF(Лабораторні!R4&gt;0, ROUNDUP(L2*REPLACE(Лабораторні!R4, FIND(".",Лабораторні!R4),1,","), 0),"")</f>
        <v/>
      </c>
      <c r="M4" s="925">
        <f>E4+H4</f>
      </c>
      <c r="N4" s="926"/>
      <c r="O4" s="927"/>
      <c r="P4" s="928" t="n">
        <f>O4+N4+M4</f>
        <v>0.0</v>
      </c>
      <c r="Q4" s="929" t="str">
        <f>IFERROR(CHOOSE(MATCH(P4,{60,64,75,82,90},1),"3E","3D","4C","4B","5A"),"")</f>
        <v/>
      </c>
    </row>
    <row r="5">
      <c r="A5" s="903">
        <f>Список!A5</f>
      </c>
      <c r="B5" s="903">
        <f>Список!B5</f>
      </c>
      <c r="C5" s="903">
        <f>Список!C5&amp;" "&amp;LEFT(Список!D5,1)&amp;"."&amp;LEFT(Список!E5,1)&amp;"."</f>
      </c>
      <c r="D5" s="903">
        <f>Список!I5</f>
      </c>
      <c r="E5" s="930" t="n">
        <f>IF(SUM(F5:G5)&gt;=25,SUM(F5:G5)+10,SUM(F5:G5))</f>
        <v>0.0</v>
      </c>
      <c r="F5" s="931" t="str">
        <f>IF(Лекції!U8&gt;0, (Лекції!U8/17) *15, "")</f>
        <v/>
      </c>
      <c r="G5" s="932" t="str">
        <f>IF(Лекції!U9&gt;0, (Лекції!U9/17) *15, "")</f>
        <v/>
      </c>
      <c r="H5" s="933" t="n">
        <f>IF(SUM(I5:L5)&gt;=26,SUM(I5:L5)+10,SUM(I5:L5))</f>
        <v>0.0</v>
      </c>
      <c r="I5" s="934" t="str">
        <f>IF(Лабораторні!E5&gt;0, ROUNDUP(I2*REPLACE(Лабораторні!E5, FIND(".",Лабораторні!E5),1,","), 0),"")</f>
        <v/>
      </c>
      <c r="J5" s="935" t="str">
        <f>IF(Лабораторні!L5&gt;0, ROUNDUP(J2*REPLACE(Лабораторні!L5, FIND(".",Лабораторні!L5),1,","), 0),"")</f>
        <v/>
      </c>
      <c r="K5" s="936" t="str">
        <f>IF(Лабораторні!O5&gt;0, ROUNDUP(K2*REPLACE(Лабораторні!O5, FIND(".",Лабораторні!O5),1,","), 0),"")</f>
        <v/>
      </c>
      <c r="L5" s="937" t="str">
        <f>IF(Лабораторні!R5&gt;0, ROUNDUP(L2*REPLACE(Лабораторні!R5, FIND(".",Лабораторні!R5),1,","), 0),"")</f>
        <v/>
      </c>
      <c r="M5" s="938">
        <f>E5+H5</f>
      </c>
      <c r="N5" s="939"/>
      <c r="O5" s="940"/>
      <c r="P5" s="941" t="n">
        <f>O5+N5+M5</f>
        <v>0.0</v>
      </c>
      <c r="Q5" s="942" t="str">
        <f>IFERROR(CHOOSE(MATCH(P5,{60,64,75,82,90},1),"3E","3D","4C","4B","5A"),"")</f>
        <v/>
      </c>
    </row>
    <row r="6">
      <c r="A6" s="903">
        <f>Список!A6</f>
      </c>
      <c r="B6" s="903">
        <f>Список!B6</f>
      </c>
      <c r="C6" s="903">
        <f>Список!C6&amp;" "&amp;LEFT(Список!D6,1)&amp;"."&amp;LEFT(Список!E6,1)&amp;"."</f>
      </c>
      <c r="D6" s="903">
        <f>Список!I6</f>
      </c>
      <c r="E6" s="943" t="n">
        <f>IF(SUM(F6:G6)&gt;=25,SUM(F6:G6)+10,SUM(F6:G6))</f>
        <v>0.0</v>
      </c>
      <c r="F6" s="944" t="str">
        <f>IF(Лекції!U10&gt;0, (Лекції!U10/17) *15, "")</f>
        <v/>
      </c>
      <c r="G6" s="945" t="str">
        <f>IF(Лекції!U11&gt;0, (Лекції!U11/17) *15, "")</f>
        <v/>
      </c>
      <c r="H6" s="946" t="n">
        <f>IF(SUM(I6:L6)&gt;=26,SUM(I6:L6)+10,SUM(I6:L6))</f>
        <v>0.0</v>
      </c>
      <c r="I6" s="947" t="str">
        <f>IF(Лабораторні!E6&gt;0, ROUNDUP(I2*REPLACE(Лабораторні!E6, FIND(".",Лабораторні!E6),1,","), 0),"")</f>
        <v/>
      </c>
      <c r="J6" s="948" t="str">
        <f>IF(Лабораторні!L6&gt;0, ROUNDUP(J2*REPLACE(Лабораторні!L6, FIND(".",Лабораторні!L6),1,","), 0),"")</f>
        <v/>
      </c>
      <c r="K6" s="949" t="str">
        <f>IF(Лабораторні!O6&gt;0, ROUNDUP(K2*REPLACE(Лабораторні!O6, FIND(".",Лабораторні!O6),1,","), 0),"")</f>
        <v/>
      </c>
      <c r="L6" s="950" t="str">
        <f>IF(Лабораторні!R6&gt;0, ROUNDUP(L2*REPLACE(Лабораторні!R6, FIND(".",Лабораторні!R6),1,","), 0),"")</f>
        <v/>
      </c>
      <c r="M6" s="951">
        <f>E6+H6</f>
      </c>
      <c r="N6" s="952"/>
      <c r="O6" s="953"/>
      <c r="P6" s="954" t="n">
        <f>O6+N6+M6</f>
        <v>0.0</v>
      </c>
      <c r="Q6" s="955" t="str">
        <f>IFERROR(CHOOSE(MATCH(P6,{60,64,75,82,90},1),"3E","3D","4C","4B","5A"),"")</f>
        <v/>
      </c>
    </row>
    <row r="7">
      <c r="A7" s="903">
        <f>Список!A7</f>
      </c>
      <c r="B7" s="903">
        <f>Список!B7</f>
      </c>
      <c r="C7" s="903">
        <f>Список!C7&amp;" "&amp;LEFT(Список!D7,1)&amp;"."&amp;LEFT(Список!E7,1)&amp;"."</f>
      </c>
      <c r="D7" s="903">
        <f>Список!I7</f>
      </c>
      <c r="E7" s="956" t="n">
        <f>IF(SUM(F7:G7)&gt;=25,SUM(F7:G7)+10,SUM(F7:G7))</f>
        <v>0.0</v>
      </c>
      <c r="F7" s="957" t="str">
        <f>IF(Лекції!U12&gt;0, (Лекції!U12/17) *15, "")</f>
        <v/>
      </c>
      <c r="G7" s="958" t="str">
        <f>IF(Лекції!U13&gt;0, (Лекції!U13/17) *15, "")</f>
        <v/>
      </c>
      <c r="H7" s="959" t="n">
        <f>IF(SUM(I7:L7)&gt;=26,SUM(I7:L7)+10,SUM(I7:L7))</f>
        <v>0.0</v>
      </c>
      <c r="I7" s="960" t="str">
        <f>IF(Лабораторні!E7&gt;0, ROUNDUP(I2*REPLACE(Лабораторні!E7, FIND(".",Лабораторні!E7),1,","), 0),"")</f>
        <v/>
      </c>
      <c r="J7" s="961" t="str">
        <f>IF(Лабораторні!L7&gt;0, ROUNDUP(J2*REPLACE(Лабораторні!L7, FIND(".",Лабораторні!L7),1,","), 0),"")</f>
        <v/>
      </c>
      <c r="K7" s="962" t="str">
        <f>IF(Лабораторні!O7&gt;0, ROUNDUP(K2*REPLACE(Лабораторні!O7, FIND(".",Лабораторні!O7),1,","), 0),"")</f>
        <v/>
      </c>
      <c r="L7" s="963" t="str">
        <f>IF(Лабораторні!R7&gt;0, ROUNDUP(L2*REPLACE(Лабораторні!R7, FIND(".",Лабораторні!R7),1,","), 0),"")</f>
        <v/>
      </c>
      <c r="M7" s="964">
        <f>E7+H7</f>
      </c>
      <c r="N7" s="965"/>
      <c r="O7" s="966"/>
      <c r="P7" s="967" t="n">
        <f>O7+N7+M7</f>
        <v>0.0</v>
      </c>
      <c r="Q7" s="968" t="str">
        <f>IFERROR(CHOOSE(MATCH(P7,{60,64,75,82,90},1),"3E","3D","4C","4B","5A"),"")</f>
        <v/>
      </c>
    </row>
    <row r="8">
      <c r="A8" s="903">
        <f>Список!A8</f>
      </c>
      <c r="B8" s="903">
        <f>Список!B8</f>
      </c>
      <c r="C8" s="903">
        <f>Список!C8&amp;" "&amp;LEFT(Список!D8,1)&amp;"."&amp;LEFT(Список!E8,1)&amp;"."</f>
      </c>
      <c r="D8" s="903">
        <f>Список!I8</f>
      </c>
      <c r="E8" s="969" t="n">
        <f>IF(SUM(F8:G8)&gt;=25,SUM(F8:G8)+10,SUM(F8:G8))</f>
        <v>0.0</v>
      </c>
      <c r="F8" s="970" t="str">
        <f>IF(Лекції!U14&gt;0, (Лекції!U14/17) *15, "")</f>
        <v/>
      </c>
      <c r="G8" s="971" t="str">
        <f>IF(Лекції!U15&gt;0, (Лекції!U15/17) *15, "")</f>
        <v/>
      </c>
      <c r="H8" s="972" t="n">
        <f>IF(SUM(I8:L8)&gt;=26,SUM(I8:L8)+10,SUM(I8:L8))</f>
        <v>0.0</v>
      </c>
      <c r="I8" s="973" t="str">
        <f>IF(Лабораторні!E8&gt;0, ROUNDUP(I2*REPLACE(Лабораторні!E8, FIND(".",Лабораторні!E8),1,","), 0),"")</f>
        <v/>
      </c>
      <c r="J8" s="974" t="str">
        <f>IF(Лабораторні!L8&gt;0, ROUNDUP(J2*REPLACE(Лабораторні!L8, FIND(".",Лабораторні!L8),1,","), 0),"")</f>
        <v/>
      </c>
      <c r="K8" s="975" t="str">
        <f>IF(Лабораторні!O8&gt;0, ROUNDUP(K2*REPLACE(Лабораторні!O8, FIND(".",Лабораторні!O8),1,","), 0),"")</f>
        <v/>
      </c>
      <c r="L8" s="976" t="str">
        <f>IF(Лабораторні!R8&gt;0, ROUNDUP(L2*REPLACE(Лабораторні!R8, FIND(".",Лабораторні!R8),1,","), 0),"")</f>
        <v/>
      </c>
      <c r="M8" s="977">
        <f>E8+H8</f>
      </c>
      <c r="N8" s="978"/>
      <c r="O8" s="979"/>
      <c r="P8" s="980" t="n">
        <f>O8+N8+M8</f>
        <v>0.0</v>
      </c>
      <c r="Q8" s="981" t="str">
        <f>IFERROR(CHOOSE(MATCH(P8,{60,64,75,82,90},1),"3E","3D","4C","4B","5A"),"")</f>
        <v/>
      </c>
    </row>
    <row r="9">
      <c r="A9" s="903">
        <f>Список!A9</f>
      </c>
      <c r="B9" s="903">
        <f>Список!B9</f>
      </c>
      <c r="C9" s="903">
        <f>Список!C9&amp;" "&amp;LEFT(Список!D9,1)&amp;"."&amp;LEFT(Список!E9,1)&amp;"."</f>
      </c>
      <c r="D9" s="903">
        <f>Список!I9</f>
      </c>
      <c r="E9" s="982" t="n">
        <f>IF(SUM(F9:G9)&gt;=25,SUM(F9:G9)+10,SUM(F9:G9))</f>
        <v>0.0</v>
      </c>
      <c r="F9" s="983" t="str">
        <f>IF(Лекції!U16&gt;0, (Лекції!U16/17) *15, "")</f>
        <v/>
      </c>
      <c r="G9" s="984" t="str">
        <f>IF(Лекції!U17&gt;0, (Лекції!U17/17) *15, "")</f>
        <v/>
      </c>
      <c r="H9" s="985" t="n">
        <f>IF(SUM(I9:L9)&gt;=26,SUM(I9:L9)+10,SUM(I9:L9))</f>
        <v>0.0</v>
      </c>
      <c r="I9" s="986" t="str">
        <f>IF(Лабораторні!E9&gt;0, ROUNDUP(I2*REPLACE(Лабораторні!E9, FIND(".",Лабораторні!E9),1,","), 0),"")</f>
        <v/>
      </c>
      <c r="J9" s="987" t="str">
        <f>IF(Лабораторні!L9&gt;0, ROUNDUP(J2*REPLACE(Лабораторні!L9, FIND(".",Лабораторні!L9),1,","), 0),"")</f>
        <v/>
      </c>
      <c r="K9" s="988" t="str">
        <f>IF(Лабораторні!O9&gt;0, ROUNDUP(K2*REPLACE(Лабораторні!O9, FIND(".",Лабораторні!O9),1,","), 0),"")</f>
        <v/>
      </c>
      <c r="L9" s="989" t="str">
        <f>IF(Лабораторні!R9&gt;0, ROUNDUP(L2*REPLACE(Лабораторні!R9, FIND(".",Лабораторні!R9),1,","), 0),"")</f>
        <v/>
      </c>
      <c r="M9" s="990">
        <f>E9+H9</f>
      </c>
      <c r="N9" s="991"/>
      <c r="O9" s="992"/>
      <c r="P9" s="993" t="n">
        <f>O9+N9+M9</f>
        <v>0.0</v>
      </c>
      <c r="Q9" s="994" t="str">
        <f>IFERROR(CHOOSE(MATCH(P9,{60,64,75,82,90},1),"3E","3D","4C","4B","5A"),"")</f>
        <v/>
      </c>
    </row>
    <row r="10">
      <c r="A10" s="903">
        <f>Список!A10</f>
      </c>
      <c r="B10" s="903">
        <f>Список!B10</f>
      </c>
      <c r="C10" s="903">
        <f>Список!C10&amp;" "&amp;LEFT(Список!D10,1)&amp;"."&amp;LEFT(Список!E10,1)&amp;"."</f>
      </c>
      <c r="D10" s="903">
        <f>Список!I10</f>
      </c>
      <c r="E10" s="995" t="n">
        <f>IF(SUM(F10:G10)&gt;=25,SUM(F10:G10)+10,SUM(F10:G10))</f>
        <v>0.0</v>
      </c>
      <c r="F10" s="996" t="str">
        <f>IF(Лекції!U18&gt;0, (Лекції!U18/17) *15, "")</f>
        <v/>
      </c>
      <c r="G10" s="997" t="str">
        <f>IF(Лекції!U19&gt;0, (Лекції!U19/17) *15, "")</f>
        <v/>
      </c>
      <c r="H10" s="998" t="n">
        <f>IF(SUM(I10:L10)&gt;=26,SUM(I10:L10)+10,SUM(I10:L10))</f>
        <v>0.0</v>
      </c>
      <c r="I10" s="999" t="str">
        <f>IF(Лабораторні!E10&gt;0, ROUNDUP(I2*REPLACE(Лабораторні!E10, FIND(".",Лабораторні!E10),1,","), 0),"")</f>
        <v/>
      </c>
      <c r="J10" s="1000" t="str">
        <f>IF(Лабораторні!L10&gt;0, ROUNDUP(J2*REPLACE(Лабораторні!L10, FIND(".",Лабораторні!L10),1,","), 0),"")</f>
        <v/>
      </c>
      <c r="K10" s="1001" t="str">
        <f>IF(Лабораторні!O10&gt;0, ROUNDUP(K2*REPLACE(Лабораторні!O10, FIND(".",Лабораторні!O10),1,","), 0),"")</f>
        <v/>
      </c>
      <c r="L10" s="1002" t="str">
        <f>IF(Лабораторні!R10&gt;0, ROUNDUP(L2*REPLACE(Лабораторні!R10, FIND(".",Лабораторні!R10),1,","), 0),"")</f>
        <v/>
      </c>
      <c r="M10" s="1003">
        <f>E10+H10</f>
      </c>
      <c r="N10" s="1004"/>
      <c r="O10" s="1005"/>
      <c r="P10" s="1006" t="n">
        <f>O10+N10+M10</f>
        <v>0.0</v>
      </c>
      <c r="Q10" s="1007" t="str">
        <f>IFERROR(CHOOSE(MATCH(P10,{60,64,75,82,90},1),"3E","3D","4C","4B","5A"),"")</f>
        <v/>
      </c>
    </row>
    <row r="11">
      <c r="A11" s="903">
        <f>Список!A11</f>
      </c>
      <c r="B11" s="903">
        <f>Список!B11</f>
      </c>
      <c r="C11" s="903">
        <f>Список!C11&amp;" "&amp;LEFT(Список!D11,1)&amp;"."&amp;LEFT(Список!E11,1)&amp;"."</f>
      </c>
      <c r="D11" s="903">
        <f>Список!I11</f>
      </c>
      <c r="E11" s="1008" t="n">
        <f>IF(SUM(F11:G11)&gt;=25,SUM(F11:G11)+10,SUM(F11:G11))</f>
        <v>0.0</v>
      </c>
      <c r="F11" s="1009" t="str">
        <f>IF(Лекції!U20&gt;0, (Лекції!U20/17) *15, "")</f>
        <v/>
      </c>
      <c r="G11" s="1010" t="str">
        <f>IF(Лекції!U21&gt;0, (Лекції!U21/17) *15, "")</f>
        <v/>
      </c>
      <c r="H11" s="1011" t="n">
        <f>IF(SUM(I11:L11)&gt;=26,SUM(I11:L11)+10,SUM(I11:L11))</f>
        <v>0.0</v>
      </c>
      <c r="I11" s="1012" t="str">
        <f>IF(Лабораторні!E11&gt;0, ROUNDUP(I2*REPLACE(Лабораторні!E11, FIND(".",Лабораторні!E11),1,","), 0),"")</f>
        <v/>
      </c>
      <c r="J11" s="1013" t="str">
        <f>IF(Лабораторні!L11&gt;0, ROUNDUP(J2*REPLACE(Лабораторні!L11, FIND(".",Лабораторні!L11),1,","), 0),"")</f>
        <v/>
      </c>
      <c r="K11" s="1014" t="str">
        <f>IF(Лабораторні!O11&gt;0, ROUNDUP(K2*REPLACE(Лабораторні!O11, FIND(".",Лабораторні!O11),1,","), 0),"")</f>
        <v/>
      </c>
      <c r="L11" s="1015" t="str">
        <f>IF(Лабораторні!R11&gt;0, ROUNDUP(L2*REPLACE(Лабораторні!R11, FIND(".",Лабораторні!R11),1,","), 0),"")</f>
        <v/>
      </c>
      <c r="M11" s="1016">
        <f>E11+H11</f>
      </c>
      <c r="N11" s="1017"/>
      <c r="O11" s="1018"/>
      <c r="P11" s="1019" t="n">
        <f>O11+N11+M11</f>
        <v>0.0</v>
      </c>
      <c r="Q11" s="1020" t="str">
        <f>IFERROR(CHOOSE(MATCH(P11,{60,64,75,82,90},1),"3E","3D","4C","4B","5A"),"")</f>
        <v/>
      </c>
    </row>
    <row r="12">
      <c r="A12" s="903">
        <f>Список!A12</f>
      </c>
      <c r="B12" s="903">
        <f>Список!B12</f>
      </c>
      <c r="C12" s="903">
        <f>Список!C12&amp;" "&amp;LEFT(Список!D12,1)&amp;"."&amp;LEFT(Список!E12,1)&amp;"."</f>
      </c>
      <c r="D12" s="903">
        <f>Список!I12</f>
      </c>
      <c r="E12" s="1021" t="n">
        <f>IF(SUM(F12:G12)&gt;=25,SUM(F12:G12)+10,SUM(F12:G12))</f>
        <v>0.0</v>
      </c>
      <c r="F12" s="1022" t="str">
        <f>IF(Лекції!U22&gt;0, (Лекції!U22/17) *15, "")</f>
        <v/>
      </c>
      <c r="G12" s="1023" t="str">
        <f>IF(Лекції!U23&gt;0, (Лекції!U23/17) *15, "")</f>
        <v/>
      </c>
      <c r="H12" s="1024" t="n">
        <f>IF(SUM(I12:L12)&gt;=26,SUM(I12:L12)+10,SUM(I12:L12))</f>
        <v>0.0</v>
      </c>
      <c r="I12" s="1025" t="str">
        <f>IF(Лабораторні!E12&gt;0, ROUNDUP(I2*REPLACE(Лабораторні!E12, FIND(".",Лабораторні!E12),1,","), 0),"")</f>
        <v/>
      </c>
      <c r="J12" s="1026" t="str">
        <f>IF(Лабораторні!L12&gt;0, ROUNDUP(J2*REPLACE(Лабораторні!L12, FIND(".",Лабораторні!L12),1,","), 0),"")</f>
        <v/>
      </c>
      <c r="K12" s="1027" t="str">
        <f>IF(Лабораторні!O12&gt;0, ROUNDUP(K2*REPLACE(Лабораторні!O12, FIND(".",Лабораторні!O12),1,","), 0),"")</f>
        <v/>
      </c>
      <c r="L12" s="1028" t="str">
        <f>IF(Лабораторні!R12&gt;0, ROUNDUP(L2*REPLACE(Лабораторні!R12, FIND(".",Лабораторні!R12),1,","), 0),"")</f>
        <v/>
      </c>
      <c r="M12" s="1029">
        <f>E12+H12</f>
      </c>
      <c r="N12" s="1030"/>
      <c r="O12" s="1031"/>
      <c r="P12" s="1032" t="n">
        <f>O12+N12+M12</f>
        <v>0.0</v>
      </c>
      <c r="Q12" s="1033" t="str">
        <f>IFERROR(CHOOSE(MATCH(P12,{60,64,75,82,90},1),"3E","3D","4C","4B","5A"),"")</f>
        <v/>
      </c>
    </row>
    <row r="13">
      <c r="A13" s="903">
        <f>Список!A13</f>
      </c>
      <c r="B13" s="903">
        <f>Список!B13</f>
      </c>
      <c r="C13" s="903">
        <f>Список!C13&amp;" "&amp;LEFT(Список!D13,1)&amp;"."&amp;LEFT(Список!E13,1)&amp;"."</f>
      </c>
      <c r="D13" s="903">
        <f>Список!I13</f>
      </c>
      <c r="E13" s="1034" t="n">
        <f>IF(SUM(F13:G13)&gt;=25,SUM(F13:G13)+10,SUM(F13:G13))</f>
        <v>0.0</v>
      </c>
      <c r="F13" s="1035" t="str">
        <f>IF(Лекції!U24&gt;0, (Лекції!U24/17) *15, "")</f>
        <v/>
      </c>
      <c r="G13" s="1036" t="str">
        <f>IF(Лекції!U25&gt;0, (Лекції!U25/17) *15, "")</f>
        <v/>
      </c>
      <c r="H13" s="1037" t="n">
        <f>IF(SUM(I13:L13)&gt;=26,SUM(I13:L13)+10,SUM(I13:L13))</f>
        <v>0.0</v>
      </c>
      <c r="I13" s="1038" t="str">
        <f>IF(Лабораторні!E13&gt;0, ROUNDUP(I2*REPLACE(Лабораторні!E13, FIND(".",Лабораторні!E13),1,","), 0),"")</f>
        <v/>
      </c>
      <c r="J13" s="1039" t="str">
        <f>IF(Лабораторні!L13&gt;0, ROUNDUP(J2*REPLACE(Лабораторні!L13, FIND(".",Лабораторні!L13),1,","), 0),"")</f>
        <v/>
      </c>
      <c r="K13" s="1040" t="str">
        <f>IF(Лабораторні!O13&gt;0, ROUNDUP(K2*REPLACE(Лабораторні!O13, FIND(".",Лабораторні!O13),1,","), 0),"")</f>
        <v/>
      </c>
      <c r="L13" s="1041" t="str">
        <f>IF(Лабораторні!R13&gt;0, ROUNDUP(L2*REPLACE(Лабораторні!R13, FIND(".",Лабораторні!R13),1,","), 0),"")</f>
        <v/>
      </c>
      <c r="M13" s="1042">
        <f>E13+H13</f>
      </c>
      <c r="N13" s="1043"/>
      <c r="O13" s="1044"/>
      <c r="P13" s="1045" t="n">
        <f>O13+N13+M13</f>
        <v>0.0</v>
      </c>
      <c r="Q13" s="1046" t="str">
        <f>IFERROR(CHOOSE(MATCH(P13,{60,64,75,82,90},1),"3E","3D","4C","4B","5A"),"")</f>
        <v/>
      </c>
    </row>
    <row r="14">
      <c r="A14" s="903">
        <f>Список!A14</f>
      </c>
      <c r="B14" s="903">
        <f>Список!B14</f>
      </c>
      <c r="C14" s="903">
        <f>Список!C14&amp;" "&amp;LEFT(Список!D14,1)&amp;"."&amp;LEFT(Список!E14,1)&amp;"."</f>
      </c>
      <c r="D14" s="903">
        <f>Список!I14</f>
      </c>
      <c r="E14" s="1047" t="n">
        <f>IF(SUM(F14:G14)&gt;=25,SUM(F14:G14)+10,SUM(F14:G14))</f>
        <v>0.0</v>
      </c>
      <c r="F14" s="1048" t="str">
        <f>IF(Лекції!U26&gt;0, (Лекції!U26/17) *15, "")</f>
        <v/>
      </c>
      <c r="G14" s="1049" t="str">
        <f>IF(Лекції!U27&gt;0, (Лекції!U27/17) *15, "")</f>
        <v/>
      </c>
      <c r="H14" s="1050" t="n">
        <f>IF(SUM(I14:L14)&gt;=26,SUM(I14:L14)+10,SUM(I14:L14))</f>
        <v>0.0</v>
      </c>
      <c r="I14" s="1051" t="str">
        <f>IF(Лабораторні!E14&gt;0, ROUNDUP(I2*REPLACE(Лабораторні!E14, FIND(".",Лабораторні!E14),1,","), 0),"")</f>
        <v/>
      </c>
      <c r="J14" s="1052" t="str">
        <f>IF(Лабораторні!L14&gt;0, ROUNDUP(J2*REPLACE(Лабораторні!L14, FIND(".",Лабораторні!L14),1,","), 0),"")</f>
        <v/>
      </c>
      <c r="K14" s="1053" t="str">
        <f>IF(Лабораторні!O14&gt;0, ROUNDUP(K2*REPLACE(Лабораторні!O14, FIND(".",Лабораторні!O14),1,","), 0),"")</f>
        <v/>
      </c>
      <c r="L14" s="1054" t="str">
        <f>IF(Лабораторні!R14&gt;0, ROUNDUP(L2*REPLACE(Лабораторні!R14, FIND(".",Лабораторні!R14),1,","), 0),"")</f>
        <v/>
      </c>
      <c r="M14" s="1055">
        <f>E14+H14</f>
      </c>
      <c r="N14" s="1056"/>
      <c r="O14" s="1057"/>
      <c r="P14" s="1058" t="n">
        <f>O14+N14+M14</f>
        <v>0.0</v>
      </c>
      <c r="Q14" s="1059" t="str">
        <f>IFERROR(CHOOSE(MATCH(P14,{60,64,75,82,90},1),"3E","3D","4C","4B","5A"),"")</f>
        <v/>
      </c>
    </row>
    <row r="15">
      <c r="A15" s="903">
        <f>Список!A15</f>
      </c>
      <c r="B15" s="903">
        <f>Список!B15</f>
      </c>
      <c r="C15" s="903">
        <f>Список!C15&amp;" "&amp;LEFT(Список!D15,1)&amp;"."&amp;LEFT(Список!E15,1)&amp;"."</f>
      </c>
      <c r="D15" s="903">
        <f>Список!I15</f>
      </c>
      <c r="E15" s="1060" t="n">
        <f>IF(SUM(F15:G15)&gt;=25,SUM(F15:G15)+10,SUM(F15:G15))</f>
        <v>0.0</v>
      </c>
      <c r="F15" s="1061" t="str">
        <f>IF(Лекції!U28&gt;0, (Лекції!U28/17) *15, "")</f>
        <v/>
      </c>
      <c r="G15" s="1062" t="str">
        <f>IF(Лекції!U29&gt;0, (Лекції!U29/17) *15, "")</f>
        <v/>
      </c>
      <c r="H15" s="1063" t="n">
        <f>IF(SUM(I15:L15)&gt;=26,SUM(I15:L15)+10,SUM(I15:L15))</f>
        <v>0.0</v>
      </c>
      <c r="I15" s="1064" t="str">
        <f>IF(Лабораторні!E15&gt;0, ROUNDUP(I2*REPLACE(Лабораторні!E15, FIND(".",Лабораторні!E15),1,","), 0),"")</f>
        <v/>
      </c>
      <c r="J15" s="1065" t="str">
        <f>IF(Лабораторні!L15&gt;0, ROUNDUP(J2*REPLACE(Лабораторні!L15, FIND(".",Лабораторні!L15),1,","), 0),"")</f>
        <v/>
      </c>
      <c r="K15" s="1066" t="str">
        <f>IF(Лабораторні!O15&gt;0, ROUNDUP(K2*REPLACE(Лабораторні!O15, FIND(".",Лабораторні!O15),1,","), 0),"")</f>
        <v/>
      </c>
      <c r="L15" s="1067" t="str">
        <f>IF(Лабораторні!R15&gt;0, ROUNDUP(L2*REPLACE(Лабораторні!R15, FIND(".",Лабораторні!R15),1,","), 0),"")</f>
        <v/>
      </c>
      <c r="M15" s="1068">
        <f>E15+H15</f>
      </c>
      <c r="N15" s="1069"/>
      <c r="O15" s="1070"/>
      <c r="P15" s="1071" t="n">
        <f>O15+N15+M15</f>
        <v>0.0</v>
      </c>
      <c r="Q15" s="1072" t="str">
        <f>IFERROR(CHOOSE(MATCH(P15,{60,64,75,82,90},1),"3E","3D","4C","4B","5A"),"")</f>
        <v/>
      </c>
    </row>
  </sheetData>
  <autoFilter ref="A2:D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2025-03-17T13:59:46Z</dcterms:created>
  <dc:creator>Apache POI</dc:creator>
</cp:coreProperties>
</file>